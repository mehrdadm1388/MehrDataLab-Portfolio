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3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hdi\OneDrive\Desktop\داشبورد خودم\"/>
    </mc:Choice>
  </mc:AlternateContent>
  <xr:revisionPtr revIDLastSave="0" documentId="13_ncr:1_{5DCE0771-7C6B-4AA3-B09B-9B5FB94BC08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base" sheetId="12" r:id="rId1"/>
    <sheet name="dashboard2" sheetId="17" r:id="rId2"/>
    <sheet name="calcu" sheetId="18" r:id="rId3"/>
    <sheet name="calcu2" sheetId="19" r:id="rId4"/>
    <sheet name="list2" sheetId="20" r:id="rId5"/>
  </sheets>
  <definedNames>
    <definedName name="بهار">#REF!</definedName>
    <definedName name="پاییز">#REF!</definedName>
    <definedName name="تابستان">#REF!</definedName>
    <definedName name="زمستا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9" l="1" a="1"/>
  <c r="I13" i="19" s="1"/>
  <c r="I14" i="19" a="1"/>
  <c r="I14" i="19" s="1"/>
  <c r="I15" i="19" a="1"/>
  <c r="I15" i="19" s="1"/>
  <c r="I16" i="19" a="1"/>
  <c r="I16" i="19" s="1"/>
  <c r="I17" i="19" a="1"/>
  <c r="I17" i="19" s="1"/>
  <c r="I18" i="19" a="1"/>
  <c r="I18" i="19" s="1"/>
  <c r="I19" i="19" a="1"/>
  <c r="I19" i="19" s="1"/>
  <c r="I12" i="19" a="1"/>
  <c r="I12" i="19" s="1"/>
  <c r="F3" i="19" l="1"/>
  <c r="F4" i="19"/>
  <c r="F5" i="19"/>
  <c r="F6" i="19"/>
  <c r="F7" i="19"/>
  <c r="F8" i="19"/>
  <c r="F9" i="19"/>
  <c r="B3" i="19"/>
  <c r="C3" i="19"/>
  <c r="D3" i="19"/>
  <c r="E3" i="19"/>
  <c r="B4" i="19"/>
  <c r="C4" i="19"/>
  <c r="D4" i="19"/>
  <c r="E4" i="19"/>
  <c r="B5" i="19"/>
  <c r="C5" i="19"/>
  <c r="D5" i="19"/>
  <c r="E5" i="19"/>
  <c r="B6" i="19"/>
  <c r="C6" i="19"/>
  <c r="D6" i="19"/>
  <c r="E6" i="19"/>
  <c r="B7" i="19"/>
  <c r="C7" i="19"/>
  <c r="D7" i="19"/>
  <c r="E7" i="19"/>
  <c r="B8" i="19"/>
  <c r="C8" i="19"/>
  <c r="D8" i="19"/>
  <c r="E8" i="19"/>
  <c r="B9" i="19"/>
  <c r="C9" i="19"/>
  <c r="D9" i="19"/>
  <c r="E9" i="19"/>
  <c r="C2" i="19"/>
  <c r="D2" i="19"/>
  <c r="E2" i="19"/>
  <c r="B2" i="19"/>
  <c r="F2" i="19"/>
  <c r="A3" i="18"/>
  <c r="B3" i="18" s="1"/>
  <c r="O4" i="17"/>
  <c r="C2" i="18" s="1"/>
  <c r="D9" i="18" s="1"/>
  <c r="D11" i="18" s="1"/>
  <c r="J5" i="19" l="1"/>
  <c r="M6" i="19"/>
  <c r="M2" i="19"/>
  <c r="J4" i="19"/>
  <c r="L6" i="19"/>
  <c r="L2" i="19"/>
  <c r="J3" i="19"/>
  <c r="K6" i="19"/>
  <c r="K2" i="19"/>
  <c r="M9" i="19"/>
  <c r="M5" i="19"/>
  <c r="L9" i="19"/>
  <c r="L5" i="19"/>
  <c r="K9" i="19"/>
  <c r="K5" i="19"/>
  <c r="M8" i="19"/>
  <c r="M4" i="19"/>
  <c r="J2" i="19"/>
  <c r="L8" i="19"/>
  <c r="L4" i="19"/>
  <c r="J7" i="19"/>
  <c r="L7" i="19"/>
  <c r="L3" i="19"/>
  <c r="J9" i="19"/>
  <c r="K8" i="19"/>
  <c r="K4" i="19"/>
  <c r="J8" i="19"/>
  <c r="M7" i="19"/>
  <c r="M3" i="19"/>
  <c r="J6" i="19"/>
  <c r="K7" i="19"/>
  <c r="K3" i="19"/>
  <c r="D2" i="18"/>
  <c r="E9" i="18" s="1"/>
  <c r="E11" i="18" s="1"/>
  <c r="F2" i="18"/>
  <c r="G9" i="18" s="1"/>
  <c r="G11" i="18" s="1"/>
  <c r="E2" i="18"/>
  <c r="F9" i="18" s="1"/>
  <c r="F11" i="18" s="1"/>
  <c r="A2" i="18"/>
  <c r="G2" i="18"/>
  <c r="H9" i="18" s="1"/>
  <c r="H11" i="18" s="1"/>
  <c r="H2" i="18"/>
  <c r="I9" i="18" s="1"/>
  <c r="I11" i="18" s="1"/>
  <c r="I2" i="18"/>
  <c r="J9" i="18" s="1"/>
  <c r="J11" i="18" s="1"/>
  <c r="B2" i="18"/>
  <c r="C9" i="18" s="1"/>
  <c r="C11" i="18" s="1"/>
  <c r="F3" i="18"/>
  <c r="G3" i="18"/>
  <c r="H3" i="18"/>
  <c r="I3" i="18"/>
  <c r="E3" i="18"/>
  <c r="C3" i="18"/>
  <c r="D3" i="18"/>
  <c r="J19" i="19" l="1"/>
  <c r="K19" i="19" s="1"/>
  <c r="J16" i="19"/>
  <c r="K16" i="19" s="1"/>
  <c r="J12" i="19"/>
  <c r="K12" i="19" s="1"/>
  <c r="J14" i="19"/>
  <c r="K14" i="19" s="1"/>
  <c r="J17" i="19"/>
  <c r="K17" i="19" s="1"/>
  <c r="J13" i="19"/>
  <c r="K13" i="19" s="1"/>
  <c r="J18" i="19"/>
  <c r="K18" i="19" s="1"/>
  <c r="J15" i="19"/>
  <c r="K15" i="19" s="1"/>
  <c r="J3" i="18"/>
  <c r="J2" i="18"/>
  <c r="K9" i="18" s="1"/>
  <c r="K11" i="18" s="1"/>
  <c r="K2" i="18" l="1"/>
  <c r="L9" i="18" l="1"/>
  <c r="L11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<sst xmlns="http://schemas.openxmlformats.org/spreadsheetml/2006/main" count="178" uniqueCount="21">
  <si>
    <t>بهار</t>
  </si>
  <si>
    <t>شاخص پیشرفت فیزیکی کارکنان</t>
  </si>
  <si>
    <t>شاخص رضایت کارکنان</t>
  </si>
  <si>
    <t>شاخص بهره وری کارکنان</t>
  </si>
  <si>
    <t>شاخص وفاداری کارکنان به سازمان</t>
  </si>
  <si>
    <t>شاخص سطح زندگی کارکنان</t>
  </si>
  <si>
    <t>شاخص خلاقیت افراد</t>
  </si>
  <si>
    <t>شاخص فضای رقابتی بودن</t>
  </si>
  <si>
    <t>درصد</t>
  </si>
  <si>
    <t>تابستان</t>
  </si>
  <si>
    <t>پاییز</t>
  </si>
  <si>
    <t>زمستان</t>
  </si>
  <si>
    <t>شاخص عدم تمایل به ترک خدمت کارکنان</t>
  </si>
  <si>
    <t>فصل</t>
  </si>
  <si>
    <t>نام شاخص</t>
  </si>
  <si>
    <t>میانگین</t>
  </si>
  <si>
    <t>درصد رشد</t>
  </si>
  <si>
    <t xml:space="preserve">میانگین شاخص ها در فصل </t>
  </si>
  <si>
    <t xml:space="preserve">رشد شاخص ها در فصل </t>
  </si>
  <si>
    <t>ماه جاری</t>
  </si>
  <si>
    <t>ماه قبل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</si>
</sst>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color theme="1"/>
      <name val="Calibri"/>
      <family val="2"/>
      <scheme val="minor"/>
    </font>
    <font>
      <sz val="11"/>
      <color theme="1"/>
      <name val="SamanBank"/>
      <charset val="178"/>
    </font>
    <font>
      <sz val="8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8"/>
      <color rgb="FF000000"/>
      <name val="Segoe UI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0" fillId="0" borderId="0" xfId="1" applyFont="1"/>
    <xf numFmtId="9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/>
    </xf>
    <xf numFmtId="0" fontId="7" fillId="2" borderId="0" xfId="0" applyFont="1" applyFill="1" applyAlignment="1">
      <alignment horizont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manBan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manBan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manBank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manBank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manBank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manBank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4E4E4"/>
      <color rgb="FFFCC460"/>
      <color rgb="FF23064E"/>
      <color rgb="FF480D9F"/>
      <color rgb="FFD60093"/>
      <color rgb="FFABE3FF"/>
      <color rgb="FF640045"/>
      <color rgb="FFB8FABA"/>
      <color rgb="FFD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EC8-4636-9CD8-DA9B951AD5A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EC8-4636-9CD8-DA9B951AD5AD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EC8-4636-9CD8-DA9B951AD5A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EC8-4636-9CD8-DA9B951AD5AD}"/>
              </c:ext>
            </c:extLst>
          </c:dPt>
          <c:val>
            <c:numRef>
              <c:f>calcu!$C$8:$C$11</c:f>
              <c:numCache>
                <c:formatCode>General</c:formatCode>
                <c:ptCount val="4"/>
                <c:pt idx="0">
                  <c:v>90</c:v>
                </c:pt>
                <c:pt idx="1">
                  <c:v>162</c:v>
                </c:pt>
                <c:pt idx="2">
                  <c:v>1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EC8-4636-9CD8-DA9B951AD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94717FF-F19B-4EFF-A076-23F391AAA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1B9DA0-8E4B-408C-B426-BE6E1C738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B8533F-F9C0-4C84-B669-3962D26878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41BE70D-49D9-429B-94AF-7911BDA4D2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57C1E5-B9F8-4257-BB05-59E7717FD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3B73490-33B5-436B-9F8F-AE669CC8B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3F802CA-EEB6-4AAD-A655-926363032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603698-CBC2-4D01-B3FF-E916A7AF32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CABF7CD-D58B-4926-B321-DC5479B38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FB1AC4E-30EB-401B-AAB5-235DFA8B9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90C2E1-6A3E-4436-907A-AF8F82E96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24AD11A-24B6-4CA4-BDB9-37DDFE72D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D4002D7-08B2-4981-86D9-36E67068E1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75FAF4B-297A-44F4-B468-7D0E0E3BF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87A71AB-D1D1-45F1-B9B6-215960092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FA83135-CE4F-4466-88E7-E718D84FC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7A25ED2-A2D2-4BE4-9CE4-EBB198730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83E6FFC-BB02-4816-B704-202282D0A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654140B-2BA8-4BD3-9B5A-EDECB61FA7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0DBBE61-EA9A-4598-99A7-FCF866566F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8D73481-D1BB-4E80-B1FC-E4C4F2F07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90C1101-0411-4557-908D-BAF458753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8EEFB00-FFEC-4CE4-921E-7B4C23DCFF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28A578-447F-4626-BF2D-11B5021DBA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C70FE6-0DDC-4E19-8752-B181CDC54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A6AB12A-AD10-45DF-B277-CA0C14701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5383AC8-D621-42C9-A153-AD65CAEA36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317C646-E865-40B1-8195-18C26B53B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441D77-03B8-4B7A-8387-4A73ED04A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4711428-2462-4842-9CA1-29BF8F9CA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87ADCE0-CF40-4673-BCD3-8723E8818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0BC4487-FAD8-47F0-BEC8-83E0BCC5A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8925A57-57DB-47CD-96B0-7C11A4B4A1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F76DBF7-A74C-4DA2-A7F6-8C62A9D20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68F48BF-7B4B-4714-9119-38FFF25353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FB63E81-0AA8-48B3-95B8-F70317E00C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440E576-B1CA-4A20-9F37-40BE41B2BA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109EC03-2D1A-4830-A99E-D2670D55A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3E0C9AD-3A95-4DAD-B6A2-BC316F5199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0572471-1E9C-4D57-A27D-085F0865AD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EF955E5-A20A-4EF0-8CC3-0C429F8886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5568629-0C14-4FD6-91E8-3FC44C7184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FB1DA66-997B-4E38-A3F9-A80A720C9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2C4B809-8B36-41FC-B0A0-92869446B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F2E-44F0-83CA-2F45C8AF093F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F2E-44F0-83CA-2F45C8AF093F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F2E-44F0-83CA-2F45C8AF093F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F2E-44F0-83CA-2F45C8AF093F}"/>
              </c:ext>
            </c:extLst>
          </c:dPt>
          <c:val>
            <c:numRef>
              <c:f>calcu!$G$8:$G$11</c:f>
              <c:numCache>
                <c:formatCode>General</c:formatCode>
                <c:ptCount val="4"/>
                <c:pt idx="0">
                  <c:v>94</c:v>
                </c:pt>
                <c:pt idx="1">
                  <c:v>81</c:v>
                </c:pt>
                <c:pt idx="2">
                  <c:v>1</c:v>
                </c:pt>
                <c:pt idx="3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F2E-44F0-83CA-2F45C8AF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391BFD1-E3BE-4C9D-8994-075060601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385FED-0E28-41B9-9888-EE4D86B56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C9D40C-865D-4110-9C7E-5FC15AFCB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5908CEE-12F7-4AF1-8564-0937232F1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4FD79B-23FB-4CCD-8BA9-CA4D064BF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613FB4-C7D3-4337-B966-61AAC253C0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3E186F8-EB68-448E-887D-68043E65B5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2FE8DF5-DD8F-4308-A3DB-65934FA67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777161-2792-4CE1-BA4C-8CF4C2CCD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4E48309-EB1F-4C9B-A25F-015CD5D64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ECABF8-A785-4E21-8598-80C65FAF5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75F3558-8DD5-4EE1-A108-A4EE57169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34948F-4FEE-454D-BFD8-F54757E6D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03FDD55-70C5-41FE-B750-031FCAE37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3EF6F5F-72F8-4358-9AC2-730FA8C40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80C8EF6-7C80-46C3-B778-420D805C8C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351E4BA-568D-4D1F-9F05-591A5DB29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CD2A582-124B-4936-AE82-67A3C7FE20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BC45029-5357-4686-982D-6D548F208A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065EE9B-C29D-4F4E-BA10-58478E4817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43913F0-D417-4950-98A0-AC605CE58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0911BB7-DF8F-4068-A209-217BB523FA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CBE-4B83-9E92-F5A6B914524E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BE-4B83-9E92-F5A6B914524E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CBE-4B83-9E92-F5A6B914524E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CBE-4B83-9E92-F5A6B914524E}"/>
              </c:ext>
            </c:extLst>
          </c:dPt>
          <c:val>
            <c:numRef>
              <c:f>calcu!$H$8:$H$11</c:f>
              <c:numCache>
                <c:formatCode>General</c:formatCode>
                <c:ptCount val="4"/>
                <c:pt idx="0">
                  <c:v>95</c:v>
                </c:pt>
                <c:pt idx="1">
                  <c:v>108</c:v>
                </c:pt>
                <c:pt idx="2">
                  <c:v>1</c:v>
                </c:pt>
                <c:pt idx="3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CBE-4B83-9E92-F5A6B9145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5967D4F-8FA6-4598-ABE9-27704CCB5C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287D58-0C74-4674-A1FD-7A6320BE0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2EFC1D-5CF6-4172-A860-C40CAA222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6E41E8-5EDC-422C-A4D4-3AD341B29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5C7D54-BB84-49D9-90C9-34CC62DD5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BBDD9-212D-49D3-90C8-1D504922B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526642-B775-4291-9C46-B6AA75DD0B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19484C-B38B-459F-9AB9-35AB916C8D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C63D96-90F3-43D7-A5C8-148158EC2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FA3D660-7754-4DEF-9FFC-A0CD57172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6B2CED-1C52-4C5D-8C21-EA4142860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930DFDA-7712-4296-915A-E0832F2991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AF0C59B-9797-4CF6-A070-86F9CC200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D016EE8-F126-433A-A265-83B958A5F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0177964-98FD-44AC-807F-FE61DBF93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382CED9-DE5B-49E2-9BE0-81E4BA4C61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F1FE939-42FA-43ED-9753-A315299CA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90A4263-592B-4642-A5F3-CBF28BD6BD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D190C1F-19D9-4172-B7EE-341001CF7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6C00F11-9B16-4564-AA81-0CD8A471B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406CF36-67D7-47B0-B3B2-FD9FF2C9EE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7FEAE59-A6A8-427B-A1D4-03111927C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E4E4E4"/>
              </a:solidFill>
              <a:ln w="19050">
                <a:solidFill>
                  <a:srgbClr val="E4E4E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6-4D31-806F-F95CD5ED232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6-4D31-806F-F95CD5ED2327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66-4D31-806F-F95CD5ED232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66-4D31-806F-F95CD5ED2327}"/>
              </c:ext>
            </c:extLst>
          </c:dPt>
          <c:val>
            <c:numRef>
              <c:f>calcu!$D$8:$D$11</c:f>
              <c:numCache>
                <c:formatCode>General</c:formatCode>
                <c:ptCount val="4"/>
                <c:pt idx="0">
                  <c:v>91</c:v>
                </c:pt>
                <c:pt idx="1">
                  <c:v>81</c:v>
                </c:pt>
                <c:pt idx="2">
                  <c:v>1</c:v>
                </c:pt>
                <c:pt idx="3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66-4D31-806F-F95CD5ED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6-4D31-806F-F95CD5ED232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6-4D31-806F-F95CD5ED2327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66-4D31-806F-F95CD5ED232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66-4D31-806F-F95CD5ED2327}"/>
              </c:ext>
            </c:extLst>
          </c:dPt>
          <c:val>
            <c:numRef>
              <c:f>calcu!$E$8:$E$11</c:f>
              <c:numCache>
                <c:formatCode>General</c:formatCode>
                <c:ptCount val="4"/>
                <c:pt idx="0">
                  <c:v>92</c:v>
                </c:pt>
                <c:pt idx="1">
                  <c:v>135</c:v>
                </c:pt>
                <c:pt idx="2">
                  <c:v>1</c:v>
                </c:pt>
                <c:pt idx="3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66-4D31-806F-F95CD5ED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10BEA1B-2876-4736-9DA7-5FCD10DC5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DC0916B-44C4-4DF6-9C24-B6F1AF66F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EA0C94-1C50-4217-AA24-3DBD4DC9ED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5B74EE-3D50-4EA6-AA7B-E99A4F086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916B73-08D2-4A4A-99F4-0A43E5D5C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BC4E094-811D-4C7B-8316-247527A19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7487409-F69C-4674-B9B3-6752CC6D8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A204785-6B0B-4591-AF4D-BA0DB7FCA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BBCEBA-704E-4B64-895E-A195AA77B0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2995372-1FF5-475D-AF59-CD0D27CEA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009F21-80FF-4929-97BF-E740FDBD3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A1BBC3-E7A3-475A-BD1C-EC644B5D3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2152207-1641-4191-884E-F2132192A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EE427A9-C0BC-4124-9DE1-1F4A3B62D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C06F7D0-6241-46CD-B9DF-79FD27867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02470EA-A65F-44CD-8918-A450895479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28854EE-2EF5-4BB9-8F71-31AED1C3D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36A4AD0-77DC-4712-B72C-3203884CE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04956CB-4B8B-41B8-A4F9-0502EE03F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B0A6146-23E3-45C2-B2B3-81065DC37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3985A72-EADD-4A03-80BB-B402A4FC4B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820C49B-815E-4C26-9585-28712A56C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5C10341-BFBB-40F8-8C2E-FDFDC3C50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3229E1-B2E2-4194-AE04-D47A5F30A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E2DA61-F0D7-4BC5-80CE-FCD731BB9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9C99FD-6A98-4CC6-B19C-874780DDEA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757B45-E3D2-406F-B8FF-841E3A4A39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81352A-1FDE-4590-B906-BCB2CC56C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FE55C1-B1B3-4C97-B4AA-2EF56F90E7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709BB42-8285-4C47-AD96-DCF51590D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BB6C27-0F9F-41E7-BB90-F33D23BE35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826C143-DD24-45C7-9A9D-26D081C4C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0761A57-1150-42E3-B0F1-2CC5A67A0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4832B94-6047-454C-9309-64BE61A43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362787-FB30-4A17-A98C-98206569A1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8D217C1-448D-4874-A644-2EFE512A9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97815AC-7085-4166-9614-7D75EF920B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1E3BF0C-CD78-4E34-9AC8-3F51DC13E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F8D562E-09A5-4FEA-A0BF-9E2244181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D49A97-7A6F-4D28-A88E-997F240B9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91282B3-6598-46E0-BDA6-511A0DC069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C307AE4-BBFD-4F22-9D6C-B600FF5630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5DF5CC7-E0E6-4110-8B4F-8C7CFB1CA5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5E75C58-D53F-4C1E-8A62-2FA6A1966B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6-4D31-806F-F95CD5ED232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6-4D31-806F-F95CD5ED2327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66-4D31-806F-F95CD5ED232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66-4D31-806F-F95CD5ED2327}"/>
              </c:ext>
            </c:extLst>
          </c:dPt>
          <c:val>
            <c:numRef>
              <c:f>calcu!$I$8:$I$11</c:f>
              <c:numCache>
                <c:formatCode>General</c:formatCode>
                <c:ptCount val="4"/>
                <c:pt idx="0">
                  <c:v>96</c:v>
                </c:pt>
                <c:pt idx="1">
                  <c:v>97.2</c:v>
                </c:pt>
                <c:pt idx="2">
                  <c:v>1</c:v>
                </c:pt>
                <c:pt idx="3">
                  <c:v>171.8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66-4D31-806F-F95CD5ED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EA0-4AC7-BA23-A08661205BCC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EA0-4AC7-BA23-A08661205BCC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EA0-4AC7-BA23-A08661205BC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EA0-4AC7-BA23-A08661205BCC}"/>
              </c:ext>
            </c:extLst>
          </c:dPt>
          <c:val>
            <c:numRef>
              <c:f>calcu!$F$8:$F$11</c:f>
              <c:numCache>
                <c:formatCode>General</c:formatCode>
                <c:ptCount val="4"/>
                <c:pt idx="0">
                  <c:v>93</c:v>
                </c:pt>
                <c:pt idx="1">
                  <c:v>162</c:v>
                </c:pt>
                <c:pt idx="2">
                  <c:v>1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EA0-4AC7-BA23-A0866120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C4E746B-8479-4FAD-B954-86A701B1C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D53E70-052A-44EE-BC63-E52D104EB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4A2792-CB2D-4EDC-8C6B-D9DBFE9E4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0C00E47-2E1E-4AC9-92D4-C778319A5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C54DD94-451F-4C43-AA5D-5BBC3AA25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4BC81E-AC5D-46D4-BA82-F0FAA9524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F33E9E1-0BF0-4BD2-9C43-7E89BC7AC5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F89335F-E156-44DD-A093-EC5D37A99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C6635B-C59F-4CDF-B08C-851E8C6DB1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932F187-C6FA-4DE1-858A-CE7378106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578A81F-7397-49C5-B82A-4ABC5966F7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62E5362-A95D-4056-83EA-C713F1A046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46FA99-0C27-41BA-8BBE-92B27B282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29ECEC2-854D-4BE2-85F8-0F3C1F12F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A72D4D2-0479-4D21-9A00-D5F8AEBD71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BB0B971-65B8-4EE1-9803-867113004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4A85D94-15D3-416C-AE55-B2336B2C8E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ECBE782-BD36-4FF3-AF0F-06A5D404E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F4B00FA-ACA0-4741-BB80-EF100F0A3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CE281CB-2123-4CC0-87C3-836AECE245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6974EA9-A7A9-4461-AC28-3AF281970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22CDFBF-B268-4601-9E37-0CE574ED1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E13-4CDD-863F-F1943FE7EA3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E13-4CDD-863F-F1943FE7EA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E13-4CDD-863F-F1943FE7EA3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E13-4CDD-863F-F1943FE7EA3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5E13-4CDD-863F-F1943FE7EA30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5E13-4CDD-863F-F1943FE7EA3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5E13-4CDD-863F-F1943FE7EA30}"/>
              </c:ext>
            </c:extLst>
          </c:dPt>
          <c:dPt>
            <c:idx val="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5E13-4CDD-863F-F1943FE7EA3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5E13-4CDD-863F-F1943FE7EA30}"/>
              </c:ext>
            </c:extLst>
          </c:dPt>
          <c:dPt>
            <c:idx val="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5E13-4CDD-863F-F1943FE7EA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5E13-4CDD-863F-F1943FE7EA30}"/>
              </c:ext>
            </c:extLst>
          </c:dPt>
          <c:dPt>
            <c:idx val="1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5E13-4CDD-863F-F1943FE7EA30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5E13-4CDD-863F-F1943FE7EA30}"/>
              </c:ext>
            </c:extLst>
          </c:dPt>
          <c:dPt>
            <c:idx val="1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5E13-4CDD-863F-F1943FE7EA3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5E13-4CDD-863F-F1943FE7EA30}"/>
              </c:ext>
            </c:extLst>
          </c:dPt>
          <c:dPt>
            <c:idx val="15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5E13-4CDD-863F-F1943FE7EA30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5E13-4CDD-863F-F1943FE7EA30}"/>
              </c:ext>
            </c:extLst>
          </c:dPt>
          <c:dPt>
            <c:idx val="17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5E13-4CDD-863F-F1943FE7EA30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5E13-4CDD-863F-F1943FE7EA30}"/>
              </c:ext>
            </c:extLst>
          </c:dPt>
          <c:dPt>
            <c:idx val="19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7-5E13-4CDD-863F-F1943FE7EA30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9-5E13-4CDD-863F-F1943FE7EA30}"/>
              </c:ext>
            </c:extLst>
          </c:dPt>
          <c:dPt>
            <c:idx val="21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B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13-4CDD-863F-F1943FE7EA30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E13-4CDD-863F-F1943FE7EA3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C0F0D0A-2F86-4878-A93B-6991929F3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E13-4CDD-863F-F1943FE7EA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315CC1-1996-4247-95A2-DDA34E09A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E13-4CDD-863F-F1943FE7EA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AD3429-3611-4CF0-91A6-C68E08BF2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E13-4CDD-863F-F1943FE7EA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BE7C96-404B-4173-9A1C-4EE11ED8E6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E13-4CDD-863F-F1943FE7EA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9A6E31-CC0E-4E49-BB6E-783BBD437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E13-4CDD-863F-F1943FE7EA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864C423-DDD8-4698-9CAC-09E686010B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E13-4CDD-863F-F1943FE7EA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03590F-8C1E-4233-BB37-C61836CAF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E13-4CDD-863F-F1943FE7EA3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E5A816-B191-4372-AB88-788EC61DE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E13-4CDD-863F-F1943FE7EA3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D3692DF-5236-43B2-AA53-FE0E8D72E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E13-4CDD-863F-F1943FE7EA3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BF5A475-0B67-41DF-AF1C-6AA29127A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E13-4CDD-863F-F1943FE7EA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F1CC845-30FC-43B3-B6F9-75AAA756EB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E13-4CDD-863F-F1943FE7EA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3F11468-2A2D-488E-AF5C-58673340F2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E13-4CDD-863F-F1943FE7EA3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F19DD1-304E-4CD0-BEAC-7392D25A9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E13-4CDD-863F-F1943FE7EA3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67EC163-4B0D-4B3D-A75C-990776A60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E13-4CDD-863F-F1943FE7EA3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613EE22-9AC6-462B-8C55-1C50C6DCA2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E13-4CDD-863F-F1943FE7EA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D41B102-6217-4662-AE36-67EC4BF83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E13-4CDD-863F-F1943FE7EA3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5C2F849-2406-47CA-8FE9-090D1B9AC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E13-4CDD-863F-F1943FE7EA3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39E0099-91E2-4519-B555-7F0BB6BBF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E13-4CDD-863F-F1943FE7EA3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D5D499C-4935-4E62-AB53-DD6DC4EA9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E13-4CDD-863F-F1943FE7EA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2225D11-782A-47CE-8B4B-3EA55A57C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E13-4CDD-863F-F1943FE7EA3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53AFC94-448E-4A3F-9416-EA69A96586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E13-4CDD-863F-F1943FE7EA3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995B48C-82D0-427F-99C1-0AA8DE1F0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E13-4CDD-863F-F1943FE7E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5E13-4CDD-863F-F1943FE7EA30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E13-4CDD-863F-F1943FE7EA3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E13-4CDD-863F-F1943FE7EA3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E13-4CDD-863F-F1943FE7EA3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E13-4CDD-863F-F1943FE7EA3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E13-4CDD-863F-F1943FE7EA3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E13-4CDD-863F-F1943FE7EA30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E13-4CDD-863F-F1943FE7EA30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E13-4CDD-863F-F1943FE7EA30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E13-4CDD-863F-F1943FE7EA3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E13-4CDD-863F-F1943FE7EA30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E13-4CDD-863F-F1943FE7EA30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E13-4CDD-863F-F1943FE7EA30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E13-4CDD-863F-F1943FE7EA30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E13-4CDD-863F-F1943FE7EA30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E13-4CDD-863F-F1943FE7EA30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E13-4CDD-863F-F1943FE7EA30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E13-4CDD-863F-F1943FE7EA30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E13-4CDD-863F-F1943FE7EA30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E13-4CDD-863F-F1943FE7EA30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E13-4CDD-863F-F1943FE7EA30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E13-4CDD-863F-F1943FE7EA30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E13-4CDD-863F-F1943FE7EA30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5E13-4CDD-863F-F1943FE7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78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FCE-4127-8868-5F501579FE7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FCE-4127-8868-5F501579FE75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FCE-4127-8868-5F501579FE7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FCE-4127-8868-5F501579FE75}"/>
              </c:ext>
            </c:extLst>
          </c:dPt>
          <c:val>
            <c:numRef>
              <c:f>calcu!$J$8:$J$11</c:f>
              <c:numCache>
                <c:formatCode>General</c:formatCode>
                <c:ptCount val="4"/>
                <c:pt idx="0">
                  <c:v>97</c:v>
                </c:pt>
                <c:pt idx="1">
                  <c:v>75.600000000000009</c:v>
                </c:pt>
                <c:pt idx="2">
                  <c:v>1</c:v>
                </c:pt>
                <c:pt idx="3">
                  <c:v>193.39999999999998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FCE-4127-8868-5F501579F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noFill/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EA2-447B-810A-0D203E5FC18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EA2-447B-810A-0D203E5FC18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EA2-447B-810A-0D203E5FC18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EA2-447B-810A-0D203E5FC18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EA2-447B-810A-0D203E5FC18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4EA2-447B-810A-0D203E5FC18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4EA2-447B-810A-0D203E5FC18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4EA2-447B-810A-0D203E5FC18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4EA2-447B-810A-0D203E5FC18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4EA2-447B-810A-0D203E5FC18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4EA2-447B-810A-0D203E5FC18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4EA2-447B-810A-0D203E5FC18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4EA2-447B-810A-0D203E5FC18D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4EA2-447B-810A-0D203E5FC18D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4EA2-447B-810A-0D203E5FC18D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4EA2-447B-810A-0D203E5FC18D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4EA2-447B-810A-0D203E5FC18D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4EA2-447B-810A-0D203E5FC18D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4EA2-447B-810A-0D203E5FC18D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4EA2-447B-810A-0D203E5FC18D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4EA2-447B-810A-0D203E5FC18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4EA2-447B-810A-0D203E5FC18D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EA2-447B-810A-0D203E5FC18D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EA2-447B-810A-0D203E5FC18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EA2-447B-810A-0D203E5FC18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4EA2-447B-810A-0D203E5FC18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A2-447B-810A-0D203E5FC18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4EA2-447B-810A-0D203E5FC18D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4EA2-447B-810A-0D203E5FC18D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4EA2-447B-810A-0D203E5FC18D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4EA2-447B-810A-0D203E5FC18D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EA2-447B-810A-0D203E5FC18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4EA2-447B-810A-0D203E5FC18D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4EA2-447B-810A-0D203E5FC18D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4EA2-447B-810A-0D203E5FC18D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4EA2-447B-810A-0D203E5FC18D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EA2-447B-810A-0D203E5FC18D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4EA2-447B-810A-0D203E5FC18D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EA2-447B-810A-0D203E5FC18D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EA2-447B-810A-0D203E5FC18D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EA2-447B-810A-0D203E5FC18D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4EA2-447B-810A-0D203E5FC18D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4EA2-447B-810A-0D203E5FC18D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4EA2-447B-810A-0D203E5FC18D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4EA2-447B-810A-0D203E5FC18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14831A-B4EE-4679-9658-256622EBC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4EA2-447B-810A-0D203E5FC1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340A54-3651-4DD3-9159-8AE63E039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EA2-447B-810A-0D203E5FC1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C2733C-6271-4486-968D-EDF3A103B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EA2-447B-810A-0D203E5FC1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EA8019-5AD4-4A2F-95FF-3D49C38A5C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EA2-447B-810A-0D203E5FC18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D8D5272-1646-4A1C-8010-1DEBEEC43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EA2-447B-810A-0D203E5FC18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9808CA-7B15-4047-BC67-B1DBEA597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EA2-447B-810A-0D203E5FC18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36B2996-9DCA-4E4D-9F03-942FA9F7B6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EA2-447B-810A-0D203E5FC18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7E390E-721C-45AC-B371-A751130543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EA2-447B-810A-0D203E5FC18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AD59B82-69D3-416D-8CF0-7D1B167F6B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EA2-447B-810A-0D203E5FC18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DBAE20B-6055-4FEE-BAB5-13DE0A9DF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EA2-447B-810A-0D203E5FC18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0ED7BD-60B1-4C74-AF99-86B5840B30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EA2-447B-810A-0D203E5FC18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782F570-05ED-4AB3-BDD4-3E6EF7F8EC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EA2-447B-810A-0D203E5FC18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49670D9-31FE-40AF-9C55-16E2ECB0CB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EA2-447B-810A-0D203E5FC18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1F10771-E67E-4714-B252-325CF13D1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EA2-447B-810A-0D203E5FC18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C424D59-43C8-437C-B3BF-F360FB30F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EA2-447B-810A-0D203E5FC18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7E98F8E-1176-4972-A8E0-DD1E78FBD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EA2-447B-810A-0D203E5FC18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41EAA9C-445C-46BA-B229-D4EA5126C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EA2-447B-810A-0D203E5FC18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D50FA8C-9F19-4EEF-9593-386C2D354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EA2-447B-810A-0D203E5FC18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EAEC7A5-D84E-4CDB-8D67-A74FA8B80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4EA2-447B-810A-0D203E5FC18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C051353-0A74-4CFB-B8D5-450422C2E0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4EA2-447B-810A-0D203E5FC18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BDE2406-53B8-4312-A894-44952ABD1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4EA2-447B-810A-0D203E5FC18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BA0EAA6-4E0F-43D4-8C85-A5721375C1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4EA2-447B-810A-0D203E5FC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3-4EA2-447B-810A-0D203E5FC18D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4EA2-447B-810A-0D203E5FC18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4EA2-447B-810A-0D203E5FC18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4EA2-447B-810A-0D203E5FC18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4EA2-447B-810A-0D203E5FC18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4EA2-447B-810A-0D203E5FC18D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4EA2-447B-810A-0D203E5FC18D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4EA2-447B-810A-0D203E5FC18D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4EA2-447B-810A-0D203E5FC18D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4EA2-447B-810A-0D203E5FC18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4EA2-447B-810A-0D203E5FC18D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4EA2-447B-810A-0D203E5FC18D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4EA2-447B-810A-0D203E5FC18D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4EA2-447B-810A-0D203E5FC18D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4EA2-447B-810A-0D203E5FC18D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4EA2-447B-810A-0D203E5FC18D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4EA2-447B-810A-0D203E5FC18D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4EA2-447B-810A-0D203E5FC18D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4EA2-447B-810A-0D203E5FC18D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4EA2-447B-810A-0D203E5FC18D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4EA2-447B-810A-0D203E5FC18D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4EA2-447B-810A-0D203E5FC18D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4EA2-447B-810A-0D203E5FC18D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EA2-447B-810A-0D203E5FC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0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A54-431E-8E73-3001ED26A70E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A54-431E-8E73-3001ED26A70E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A54-431E-8E73-3001ED26A70E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A54-431E-8E73-3001ED26A70E}"/>
              </c:ext>
            </c:extLst>
          </c:dPt>
          <c:val>
            <c:numRef>
              <c:f>calcu!$K$8:$K$11</c:f>
              <c:numCache>
                <c:formatCode>General</c:formatCode>
                <c:ptCount val="4"/>
                <c:pt idx="0">
                  <c:v>98</c:v>
                </c:pt>
                <c:pt idx="1">
                  <c:v>112.72500000000001</c:v>
                </c:pt>
                <c:pt idx="2">
                  <c:v>1</c:v>
                </c:pt>
                <c:pt idx="3">
                  <c:v>156.27499999999998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A54-431E-8E73-3001ED26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noFill/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EA2-447B-810A-0D203E5FC18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EA2-447B-810A-0D203E5FC18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EA2-447B-810A-0D203E5FC18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EA2-447B-810A-0D203E5FC18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EA2-447B-810A-0D203E5FC18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4EA2-447B-810A-0D203E5FC18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4EA2-447B-810A-0D203E5FC18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4EA2-447B-810A-0D203E5FC18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4EA2-447B-810A-0D203E5FC18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4EA2-447B-810A-0D203E5FC18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4EA2-447B-810A-0D203E5FC18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4EA2-447B-810A-0D203E5FC18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4EA2-447B-810A-0D203E5FC18D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4EA2-447B-810A-0D203E5FC18D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4EA2-447B-810A-0D203E5FC18D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4EA2-447B-810A-0D203E5FC18D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4EA2-447B-810A-0D203E5FC18D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4EA2-447B-810A-0D203E5FC18D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4EA2-447B-810A-0D203E5FC18D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4EA2-447B-810A-0D203E5FC18D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4EA2-447B-810A-0D203E5FC18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4EA2-447B-810A-0D203E5FC18D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EA2-447B-810A-0D203E5FC18D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EA2-447B-810A-0D203E5FC18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EA2-447B-810A-0D203E5FC18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4EA2-447B-810A-0D203E5FC18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A2-447B-810A-0D203E5FC18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4EA2-447B-810A-0D203E5FC18D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4EA2-447B-810A-0D203E5FC18D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4EA2-447B-810A-0D203E5FC18D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4EA2-447B-810A-0D203E5FC18D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EA2-447B-810A-0D203E5FC18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4EA2-447B-810A-0D203E5FC18D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4EA2-447B-810A-0D203E5FC18D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4EA2-447B-810A-0D203E5FC18D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4EA2-447B-810A-0D203E5FC18D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EA2-447B-810A-0D203E5FC18D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4EA2-447B-810A-0D203E5FC18D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EA2-447B-810A-0D203E5FC18D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EA2-447B-810A-0D203E5FC18D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EA2-447B-810A-0D203E5FC18D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4EA2-447B-810A-0D203E5FC18D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4EA2-447B-810A-0D203E5FC18D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4EA2-447B-810A-0D203E5FC18D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4EA2-447B-810A-0D203E5FC18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10AC41D-52AA-4321-BC01-61E7D5D4A3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4EA2-447B-810A-0D203E5FC1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7BB529-0840-4ECB-817D-9DCE157181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EA2-447B-810A-0D203E5FC1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C27742-C2A5-4169-A5C2-C686056A6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EA2-447B-810A-0D203E5FC1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97052C-7194-45EB-9E3E-F6E251C5AF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EA2-447B-810A-0D203E5FC18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3B71FE-8FA1-419C-B706-EC0AA1566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EA2-447B-810A-0D203E5FC18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29B19F-CB6D-49DD-B158-63C3B4312F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EA2-447B-810A-0D203E5FC18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5A1644-5EB7-4854-804A-E593FA256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EA2-447B-810A-0D203E5FC18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858829-01E2-4F03-A2DA-8BFB8122A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EA2-447B-810A-0D203E5FC18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8B568D0-6AC7-48BC-B8C7-74BE0B4DF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EA2-447B-810A-0D203E5FC18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C7C2707-1600-45F1-B474-618DF61E24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EA2-447B-810A-0D203E5FC18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53DC2B9-EA4C-49D1-B4F7-B0FC34132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EA2-447B-810A-0D203E5FC18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00EA61A-702A-40E4-839F-B2961225A2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EA2-447B-810A-0D203E5FC18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793B05-ECC9-4F4E-8539-97E828E187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EA2-447B-810A-0D203E5FC18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A9B8A3C-F7D7-453B-95FF-1B1C96297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EA2-447B-810A-0D203E5FC18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1FD59D9-F7D8-4F37-88DF-BB3015E5A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EA2-447B-810A-0D203E5FC18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0F16F3-B44B-4E9C-BDC9-ADDBD801D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EA2-447B-810A-0D203E5FC18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EA11D16-8EE5-4E27-888F-B29EADADD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EA2-447B-810A-0D203E5FC18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A2A25B-440D-4663-BAD9-E58BD4905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EA2-447B-810A-0D203E5FC18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40021CF-85F3-442E-9C6A-7290DB58B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4EA2-447B-810A-0D203E5FC18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A68D175-D10F-4A85-8B6E-7457B3FD61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4EA2-447B-810A-0D203E5FC18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BED3809-C27F-4F10-B3BB-BE19444AD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4EA2-447B-810A-0D203E5FC18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A3A48E2-AD34-4A01-BCA7-D0DBBB90D6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4EA2-447B-810A-0D203E5FC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calcu!$B$7:$B$28</c15:f>
                <c15:dlblRangeCache>
                  <c:ptCount val="22"/>
                  <c:pt idx="1">
                    <c:v>-100</c:v>
                  </c:pt>
                  <c:pt idx="3">
                    <c:v>-80</c:v>
                  </c:pt>
                  <c:pt idx="5">
                    <c:v>-60</c:v>
                  </c:pt>
                  <c:pt idx="7">
                    <c:v>-40</c:v>
                  </c:pt>
                  <c:pt idx="9">
                    <c:v>-20</c:v>
                  </c:pt>
                  <c:pt idx="11">
                    <c:v>0</c:v>
                  </c:pt>
                  <c:pt idx="13">
                    <c:v>20</c:v>
                  </c:pt>
                  <c:pt idx="15">
                    <c:v>40</c:v>
                  </c:pt>
                  <c:pt idx="17">
                    <c:v>60</c:v>
                  </c:pt>
                  <c:pt idx="19">
                    <c:v>80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3-4EA2-447B-810A-0D203E5FC18D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4EA2-447B-810A-0D203E5FC18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4EA2-447B-810A-0D203E5FC18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4EA2-447B-810A-0D203E5FC18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4EA2-447B-810A-0D203E5FC18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4EA2-447B-810A-0D203E5FC18D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4EA2-447B-810A-0D203E5FC18D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4EA2-447B-810A-0D203E5FC18D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4EA2-447B-810A-0D203E5FC18D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4EA2-447B-810A-0D203E5FC18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4EA2-447B-810A-0D203E5FC18D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4EA2-447B-810A-0D203E5FC18D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4EA2-447B-810A-0D203E5FC18D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4EA2-447B-810A-0D203E5FC18D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4EA2-447B-810A-0D203E5FC18D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4EA2-447B-810A-0D203E5FC18D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4EA2-447B-810A-0D203E5FC18D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4EA2-447B-810A-0D203E5FC18D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4EA2-447B-810A-0D203E5FC18D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4EA2-447B-810A-0D203E5FC18D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4EA2-447B-810A-0D203E5FC18D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4EA2-447B-810A-0D203E5FC18D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4EA2-447B-810A-0D203E5FC18D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EA2-447B-810A-0D203E5FC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0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6A0-474F-95E6-7B637082881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6A0-474F-95E6-7B6370828810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6A0-474F-95E6-7B637082881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6A0-474F-95E6-7B6370828810}"/>
              </c:ext>
            </c:extLst>
          </c:dPt>
          <c:val>
            <c:numRef>
              <c:f>calcu!$L$8:$L$11</c:f>
              <c:numCache>
                <c:formatCode>General</c:formatCode>
                <c:ptCount val="4"/>
                <c:pt idx="0">
                  <c:v>99</c:v>
                </c:pt>
                <c:pt idx="1">
                  <c:v>79.664310954063609</c:v>
                </c:pt>
                <c:pt idx="2">
                  <c:v>1</c:v>
                </c:pt>
                <c:pt idx="3">
                  <c:v>189.33568904593639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6A0-474F-95E6-7B637082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calcu2!$B$2:$E$2</c:f>
              <c:numCache>
                <c:formatCode>0%</c:formatCode>
                <c:ptCount val="4"/>
                <c:pt idx="0">
                  <c:v>0.2</c:v>
                </c:pt>
                <c:pt idx="1">
                  <c:v>0.14000000000000001</c:v>
                </c:pt>
                <c:pt idx="2">
                  <c:v>0.9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4-4CB1-8605-6446FB4E3B68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calcu2!$J$2:$M$2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4-4CB1-8605-6446FB4E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calcu2!$B$3:$E$3</c:f>
              <c:numCache>
                <c:formatCode>0%</c:formatCode>
                <c:ptCount val="4"/>
                <c:pt idx="0">
                  <c:v>0.2</c:v>
                </c:pt>
                <c:pt idx="1">
                  <c:v>0.22</c:v>
                </c:pt>
                <c:pt idx="2">
                  <c:v>0.76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4A-47CF-ABCF-8EB244410A63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calcu2!$J$3:$M$3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4A-47CF-ABCF-8EB244410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calcu2!$B$4:$E$4</c:f>
              <c:numCache>
                <c:formatCode>0%</c:formatCode>
                <c:ptCount val="4"/>
                <c:pt idx="0">
                  <c:v>0.08</c:v>
                </c:pt>
                <c:pt idx="1">
                  <c:v>0.5</c:v>
                </c:pt>
                <c:pt idx="2">
                  <c:v>0.6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7-4878-A761-AF525348DF68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calcu2!$J$4:$M$4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7-4878-A761-AF525348D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calcu2!$B$5:$F$5</c:f>
              <c:numCache>
                <c:formatCode>0%</c:formatCode>
                <c:ptCount val="5"/>
                <c:pt idx="0">
                  <c:v>0.2</c:v>
                </c:pt>
                <c:pt idx="1">
                  <c:v>0.06</c:v>
                </c:pt>
                <c:pt idx="2">
                  <c:v>0.5</c:v>
                </c:pt>
                <c:pt idx="3">
                  <c:v>0.6</c:v>
                </c:pt>
                <c:pt idx="4">
                  <c:v>0.33999999999999997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C-4CD1-9FB5-B35530A181C1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calcu2!$J$5:$M$5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C-4CD1-9FB5-B35530A18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calcu2!$B$6:$F$6</c:f>
              <c:numCache>
                <c:formatCode>0%</c:formatCode>
                <c:ptCount val="5"/>
                <c:pt idx="0">
                  <c:v>0.15</c:v>
                </c:pt>
                <c:pt idx="1">
                  <c:v>0.08</c:v>
                </c:pt>
                <c:pt idx="2">
                  <c:v>0.7</c:v>
                </c:pt>
                <c:pt idx="3">
                  <c:v>0.3</c:v>
                </c:pt>
                <c:pt idx="4">
                  <c:v>0.3075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8-4F28-8B4F-BC4423E33453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calcu2!$J$6:$M$6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8-4F28-8B4F-BC4423E3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solidFill>
      <a:srgbClr val="E4E4E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calcu2!$B$7:$F$7</c:f>
              <c:numCache>
                <c:formatCode>0%</c:formatCode>
                <c:ptCount val="5"/>
                <c:pt idx="0">
                  <c:v>0.14000000000000001</c:v>
                </c:pt>
                <c:pt idx="1">
                  <c:v>0.16</c:v>
                </c:pt>
                <c:pt idx="2">
                  <c:v>0.68</c:v>
                </c:pt>
                <c:pt idx="3">
                  <c:v>0.4</c:v>
                </c:pt>
                <c:pt idx="4">
                  <c:v>0.34500000000000003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8-4509-B7ED-A7991D8DDBDA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calcu2!$J$7:$M$7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8-4509-B7ED-A7991D8D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calcu2!$B$8:$F$8</c:f>
              <c:numCache>
                <c:formatCode>0%</c:formatCode>
                <c:ptCount val="5"/>
                <c:pt idx="0">
                  <c:v>0.05</c:v>
                </c:pt>
                <c:pt idx="1">
                  <c:v>0.05</c:v>
                </c:pt>
                <c:pt idx="2">
                  <c:v>0.8</c:v>
                </c:pt>
                <c:pt idx="3">
                  <c:v>0.36</c:v>
                </c:pt>
                <c:pt idx="4">
                  <c:v>0.315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F-475D-8BA0-E43C502C7E01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calcu2!$J$8:$M$8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F-475D-8BA0-E43C502C7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calcu2!$B$9:$F$9</c:f>
              <c:numCache>
                <c:formatCode>0%</c:formatCode>
                <c:ptCount val="5"/>
                <c:pt idx="0">
                  <c:v>0.1</c:v>
                </c:pt>
                <c:pt idx="1">
                  <c:v>0.4</c:v>
                </c:pt>
                <c:pt idx="2">
                  <c:v>0.72</c:v>
                </c:pt>
                <c:pt idx="3">
                  <c:v>0.28000000000000003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9-491C-893B-11FDDCDFEB84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calcu2!$J$9:$M$9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9-491C-893B-11FDDCDFE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solidFill>
          <a:srgbClr val="E4E4E4"/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spPr>
            <a:noFill/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10-D51B-40CB-AB45-FB9C5CD615A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12-D51B-40CB-AB45-FB9C5CD615A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14-D51B-40CB-AB45-FB9C5CD615A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16-D51B-40CB-AB45-FB9C5CD615A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18-D51B-40CB-AB45-FB9C5CD615A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1A-D51B-40CB-AB45-FB9C5CD615A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1C-D51B-40CB-AB45-FB9C5CD615A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1E-D51B-40CB-AB45-FB9C5CD615A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20-D51B-40CB-AB45-FB9C5CD615A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22-D51B-40CB-AB45-FB9C5CD615A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24-D51B-40CB-AB45-FB9C5CD615A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26-D51B-40CB-AB45-FB9C5CD615A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28-D51B-40CB-AB45-FB9C5CD615A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2A-D51B-40CB-AB45-FB9C5CD615A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2C-D51B-40CB-AB45-FB9C5CD615A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2E-D51B-40CB-AB45-FB9C5CD615A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30-D51B-40CB-AB45-FB9C5CD615A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32-D51B-40CB-AB45-FB9C5CD615A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34-D51B-40CB-AB45-FB9C5CD615A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36-D51B-40CB-AB45-FB9C5CD615A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38-D51B-40CB-AB45-FB9C5CD615A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3A-D51B-40CB-AB45-FB9C5CD615A5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B-D51B-40CB-AB45-FB9C5CD615A5}"/>
            </c:ext>
          </c:extLst>
        </c:ser>
        <c:ser>
          <c:idx val="2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E-D51B-40CB-AB45-FB9C5CD615A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0-D51B-40CB-AB45-FB9C5CD615A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2-D51B-40CB-AB45-FB9C5CD615A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4-D51B-40CB-AB45-FB9C5CD615A5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6-D51B-40CB-AB45-FB9C5CD615A5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8-D51B-40CB-AB45-FB9C5CD615A5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A-D51B-40CB-AB45-FB9C5CD615A5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C-D51B-40CB-AB45-FB9C5CD615A5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E-D51B-40CB-AB45-FB9C5CD615A5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0-D51B-40CB-AB45-FB9C5CD615A5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2-D51B-40CB-AB45-FB9C5CD615A5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4-D51B-40CB-AB45-FB9C5CD615A5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6-D51B-40CB-AB45-FB9C5CD615A5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8-D51B-40CB-AB45-FB9C5CD615A5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A-D51B-40CB-AB45-FB9C5CD615A5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C-D51B-40CB-AB45-FB9C5CD615A5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E-D51B-40CB-AB45-FB9C5CD615A5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0-D51B-40CB-AB45-FB9C5CD615A5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2-D51B-40CB-AB45-FB9C5CD615A5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4-D51B-40CB-AB45-FB9C5CD615A5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6-D51B-40CB-AB45-FB9C5CD615A5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8-D51B-40CB-AB45-FB9C5CD615A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B54AA37-D5E6-476B-9535-466D67E0E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E-D51B-40CB-AB45-FB9C5CD615A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06B59A-FB26-49D2-BAB4-3C67514DF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D51B-40CB-AB45-FB9C5CD615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1A6A3A-BD58-4964-AD5F-B2584C9E7D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D51B-40CB-AB45-FB9C5CD615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3A2F88-FE08-4ECD-82FD-C0CB8A7E8A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D51B-40CB-AB45-FB9C5CD615A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4D38C9-C008-4D0E-B1CE-8863BB9A60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D51B-40CB-AB45-FB9C5CD615A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73B87B5-B9A7-4798-A1B2-E171E9DDA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D51B-40CB-AB45-FB9C5CD615A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7905E9-2858-41CE-90A4-214E0000C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D51B-40CB-AB45-FB9C5CD615A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C7B0A8D-97B8-4439-9F60-8EF3F980AB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D51B-40CB-AB45-FB9C5CD615A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D8C3108-A829-4930-849E-63D9D959A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D51B-40CB-AB45-FB9C5CD615A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99FCAFA-99BC-453E-97AC-4073C16AD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D51B-40CB-AB45-FB9C5CD615A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E7DD455-A359-4C06-8A0C-1729BD449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D51B-40CB-AB45-FB9C5CD615A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C43F59A-817D-4D99-8AC4-8F0D6DFC24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D51B-40CB-AB45-FB9C5CD615A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0F4CFED-7C1E-4DE8-BABE-974BA041B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D51B-40CB-AB45-FB9C5CD615A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FA70BA3-4B46-4382-8D6D-72C807EA2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D51B-40CB-AB45-FB9C5CD615A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ABD0D71-A61B-4119-AE53-D312482EB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D51B-40CB-AB45-FB9C5CD615A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3134280-9DEE-4CC4-A8DD-BAEEBE993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D51B-40CB-AB45-FB9C5CD615A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9A9B644-3556-4917-A727-A6FDB2AE8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D51B-40CB-AB45-FB9C5CD615A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3FDB2BE-B0B7-4E56-BBC0-B0C9DC9046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D51B-40CB-AB45-FB9C5CD615A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C0EB123-33F8-4EFC-8D67-7EC2DC011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D51B-40CB-AB45-FB9C5CD615A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7CA72F-3C6C-4E2F-9A60-7CE09F5E9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4-D51B-40CB-AB45-FB9C5CD615A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A688371-634D-41D7-BA75-FDA024717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D51B-40CB-AB45-FB9C5CD615A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4F22AB0-0F9D-4C5B-8515-A862693A5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D51B-40CB-AB45-FB9C5CD615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calcu!$A$7:$A$28</c15:f>
                <c15:dlblRangeCache>
                  <c:ptCount val="22"/>
                  <c:pt idx="1">
                    <c:v>0</c:v>
                  </c:pt>
                  <c:pt idx="3">
                    <c:v>10</c:v>
                  </c:pt>
                  <c:pt idx="5">
                    <c:v>20</c:v>
                  </c:pt>
                  <c:pt idx="7">
                    <c:v>30</c:v>
                  </c:pt>
                  <c:pt idx="9">
                    <c:v>40</c:v>
                  </c:pt>
                  <c:pt idx="11">
                    <c:v>50</c:v>
                  </c:pt>
                  <c:pt idx="13">
                    <c:v>60</c:v>
                  </c:pt>
                  <c:pt idx="15">
                    <c:v>70</c:v>
                  </c:pt>
                  <c:pt idx="17">
                    <c:v>80</c:v>
                  </c:pt>
                  <c:pt idx="19">
                    <c:v>90</c:v>
                  </c:pt>
                  <c:pt idx="21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69-D51B-40CB-AB45-FB9C5CD615A5}"/>
            </c:ext>
          </c:extLst>
        </c:ser>
        <c:ser>
          <c:idx val="0"/>
          <c:order val="2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C-D51B-40CB-AB45-FB9C5CD615A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E-D51B-40CB-AB45-FB9C5CD615A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0-D51B-40CB-AB45-FB9C5CD615A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2-D51B-40CB-AB45-FB9C5CD615A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4-D51B-40CB-AB45-FB9C5CD615A5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6-D51B-40CB-AB45-FB9C5CD615A5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8-D51B-40CB-AB45-FB9C5CD615A5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A-D51B-40CB-AB45-FB9C5CD615A5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C-D51B-40CB-AB45-FB9C5CD615A5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E-D51B-40CB-AB45-FB9C5CD615A5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0-D51B-40CB-AB45-FB9C5CD615A5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2-D51B-40CB-AB45-FB9C5CD615A5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4-D51B-40CB-AB45-FB9C5CD615A5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6-D51B-40CB-AB45-FB9C5CD615A5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8-D51B-40CB-AB45-FB9C5CD615A5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A-D51B-40CB-AB45-FB9C5CD615A5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C-D51B-40CB-AB45-FB9C5CD615A5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E-D51B-40CB-AB45-FB9C5CD615A5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0-D51B-40CB-AB45-FB9C5CD615A5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2-D51B-40CB-AB45-FB9C5CD615A5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4-D51B-40CB-AB45-FB9C5CD615A5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6-D51B-40CB-AB45-FB9C5CD615A5}"/>
              </c:ext>
            </c:extLst>
          </c:dPt>
          <c:val>
            <c:numRef>
              <c:f>calcu!$Q$4:$Q$25</c:f>
              <c:numCache>
                <c:formatCode>General</c:formatCode>
                <c:ptCount val="22"/>
                <c:pt idx="0">
                  <c:v>90</c:v>
                </c:pt>
                <c:pt idx="1">
                  <c:v>1</c:v>
                </c:pt>
                <c:pt idx="2">
                  <c:v>26</c:v>
                </c:pt>
                <c:pt idx="3">
                  <c:v>1</c:v>
                </c:pt>
                <c:pt idx="4">
                  <c:v>26</c:v>
                </c:pt>
                <c:pt idx="5">
                  <c:v>1</c:v>
                </c:pt>
                <c:pt idx="6">
                  <c:v>26</c:v>
                </c:pt>
                <c:pt idx="7">
                  <c:v>1</c:v>
                </c:pt>
                <c:pt idx="8">
                  <c:v>26</c:v>
                </c:pt>
                <c:pt idx="9">
                  <c:v>1</c:v>
                </c:pt>
                <c:pt idx="10">
                  <c:v>26</c:v>
                </c:pt>
                <c:pt idx="11">
                  <c:v>1</c:v>
                </c:pt>
                <c:pt idx="12">
                  <c:v>26</c:v>
                </c:pt>
                <c:pt idx="13">
                  <c:v>1</c:v>
                </c:pt>
                <c:pt idx="14">
                  <c:v>26</c:v>
                </c:pt>
                <c:pt idx="15">
                  <c:v>1</c:v>
                </c:pt>
                <c:pt idx="16">
                  <c:v>26</c:v>
                </c:pt>
                <c:pt idx="17">
                  <c:v>1</c:v>
                </c:pt>
                <c:pt idx="18">
                  <c:v>26</c:v>
                </c:pt>
                <c:pt idx="19">
                  <c:v>1</c:v>
                </c:pt>
                <c:pt idx="20">
                  <c:v>25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7-D51B-40CB-AB45-FB9C5CD61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  <c:holeSize val="0"/>
      </c:doughnutChart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53-41EF-A896-B1A9FF74AD4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53-41EF-A896-B1A9FF74AD4B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ysClr val="windowText" lastClr="000000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E53-41EF-A896-B1A9FF74AD4B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53-41EF-A896-B1A9FF74AD4B}"/>
              </c:ext>
            </c:extLst>
          </c:dPt>
          <c:val>
            <c:numRef>
              <c:f>calcu!$C$8:$C$11</c:f>
              <c:numCache>
                <c:formatCode>General</c:formatCode>
                <c:ptCount val="4"/>
                <c:pt idx="0">
                  <c:v>90</c:v>
                </c:pt>
                <c:pt idx="1">
                  <c:v>162</c:v>
                </c:pt>
                <c:pt idx="2">
                  <c:v>1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3-41EF-A896-B1A9FF74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8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calcu2!$B$1:$F$1</c:f>
              <c:strCache>
                <c:ptCount val="5"/>
                <c:pt idx="0">
                  <c:v>بهار</c:v>
                </c:pt>
                <c:pt idx="1">
                  <c:v>تابستان</c:v>
                </c:pt>
                <c:pt idx="2">
                  <c:v>پاییز</c:v>
                </c:pt>
                <c:pt idx="3">
                  <c:v>زمستان</c:v>
                </c:pt>
                <c:pt idx="4">
                  <c:v>میانگین</c:v>
                </c:pt>
              </c:strCache>
            </c:strRef>
          </c:cat>
          <c:val>
            <c:numRef>
              <c:f>calcu2!$B$2:$F$2</c:f>
              <c:numCache>
                <c:formatCode>0%</c:formatCode>
                <c:ptCount val="5"/>
                <c:pt idx="0">
                  <c:v>0.2</c:v>
                </c:pt>
                <c:pt idx="1">
                  <c:v>0.14000000000000001</c:v>
                </c:pt>
                <c:pt idx="2">
                  <c:v>0.9</c:v>
                </c:pt>
                <c:pt idx="3">
                  <c:v>0.6</c:v>
                </c:pt>
                <c:pt idx="4">
                  <c:v>0.45999999999999996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E-464F-B0C8-F8FDC249100B}"/>
            </c:ext>
          </c:extLst>
        </c:ser>
        <c:ser>
          <c:idx val="1"/>
          <c:order val="1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calcu2!$J$2:$M$2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E-464F-B0C8-F8FDC249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51180367"/>
        <c:axId val="651182767"/>
      </c:barChart>
      <c:catAx>
        <c:axId val="6511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82767"/>
        <c:crosses val="autoZero"/>
        <c:auto val="1"/>
        <c:lblAlgn val="ctr"/>
        <c:lblOffset val="100"/>
        <c:noMultiLvlLbl val="0"/>
      </c:catAx>
      <c:valAx>
        <c:axId val="651182767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5118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N$4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5</xdr:row>
          <xdr:rowOff>165100</xdr:rowOff>
        </xdr:from>
        <xdr:to>
          <xdr:col>14</xdr:col>
          <xdr:colOff>381000</xdr:colOff>
          <xdr:row>6</xdr:row>
          <xdr:rowOff>171450</xdr:rowOff>
        </xdr:to>
        <xdr:sp macro="" textlink="">
          <xdr:nvSpPr>
            <xdr:cNvPr id="7169" name="Option 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32004" rIns="36576" bIns="32004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بهار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6</xdr:row>
          <xdr:rowOff>184150</xdr:rowOff>
        </xdr:from>
        <xdr:to>
          <xdr:col>14</xdr:col>
          <xdr:colOff>381000</xdr:colOff>
          <xdr:row>8</xdr:row>
          <xdr:rowOff>38100</xdr:rowOff>
        </xdr:to>
        <xdr:sp macro="" textlink="">
          <xdr:nvSpPr>
            <xdr:cNvPr id="7170" name="Option 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32004" rIns="36576" bIns="32004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تابستان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8</xdr:row>
          <xdr:rowOff>38100</xdr:rowOff>
        </xdr:from>
        <xdr:to>
          <xdr:col>14</xdr:col>
          <xdr:colOff>381000</xdr:colOff>
          <xdr:row>9</xdr:row>
          <xdr:rowOff>57150</xdr:rowOff>
        </xdr:to>
        <xdr:sp macro="" textlink="">
          <xdr:nvSpPr>
            <xdr:cNvPr id="7171" name="Option 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32004" rIns="36576" bIns="32004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پاییز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9</xdr:row>
          <xdr:rowOff>88900</xdr:rowOff>
        </xdr:from>
        <xdr:to>
          <xdr:col>14</xdr:col>
          <xdr:colOff>381000</xdr:colOff>
          <xdr:row>10</xdr:row>
          <xdr:rowOff>107950</xdr:rowOff>
        </xdr:to>
        <xdr:sp macro="" textlink="">
          <xdr:nvSpPr>
            <xdr:cNvPr id="7172" name="Option 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1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32004" rIns="36576" bIns="32004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زمستان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2722</xdr:colOff>
      <xdr:row>0</xdr:row>
      <xdr:rowOff>42862</xdr:rowOff>
    </xdr:from>
    <xdr:to>
      <xdr:col>10</xdr:col>
      <xdr:colOff>769055</xdr:colOff>
      <xdr:row>3</xdr:row>
      <xdr:rowOff>84667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9949783364" y="42862"/>
          <a:ext cx="6843215" cy="594870"/>
          <a:chOff x="10025605425" y="42862"/>
          <a:chExt cx="6666139" cy="549049"/>
        </a:xfrm>
      </xdr:grpSpPr>
      <xdr:sp macro="" textlink="">
        <xdr:nvSpPr>
          <xdr:cNvPr id="2" name="Rounded Rectangle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0025605425" y="48987"/>
            <a:ext cx="6666139" cy="542924"/>
          </a:xfrm>
          <a:prstGeom prst="roundRect">
            <a:avLst/>
          </a:prstGeom>
          <a:solidFill>
            <a:srgbClr val="480D9F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/>
        </xdr:nvSpPr>
        <xdr:spPr>
          <a:xfrm>
            <a:off x="10027751951" y="42862"/>
            <a:ext cx="2629679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cene3d>
              <a:camera prst="orthographicFront"/>
              <a:lightRig rig="threePt" dir="t"/>
            </a:scene3d>
            <a:sp3d extrusionH="57150">
              <a:bevelT w="38100" h="38100" prst="slope"/>
            </a:sp3d>
          </a:bodyPr>
          <a:lstStyle/>
          <a:p>
            <a:pPr algn="ctr" rtl="1"/>
            <a:r>
              <a:rPr lang="fa-IR" sz="2800" b="1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SamanBank" panose="00000500000000000000" pitchFamily="2" charset="-78"/>
                <a:cs typeface="SamanBank" panose="00000500000000000000" pitchFamily="2" charset="-78"/>
              </a:rPr>
              <a:t>داشبورد</a:t>
            </a:r>
            <a:r>
              <a:rPr lang="fa-IR" sz="2800" b="1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SamanBank" panose="00000500000000000000" pitchFamily="2" charset="-78"/>
                <a:cs typeface="SamanBank" panose="00000500000000000000" pitchFamily="2" charset="-78"/>
              </a:rPr>
              <a:t> منابع انسانی</a:t>
            </a:r>
            <a:endParaRPr lang="en-US" sz="2800" b="1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amanBank" panose="00000500000000000000" pitchFamily="2" charset="-78"/>
              <a:cs typeface="SamanBank" panose="00000500000000000000" pitchFamily="2" charset="-78"/>
            </a:endParaRPr>
          </a:p>
        </xdr:txBody>
      </xdr:sp>
    </xdr:grpSp>
    <xdr:clientData/>
  </xdr:twoCellAnchor>
  <xdr:twoCellAnchor>
    <xdr:from>
      <xdr:col>0</xdr:col>
      <xdr:colOff>8083</xdr:colOff>
      <xdr:row>3</xdr:row>
      <xdr:rowOff>105726</xdr:rowOff>
    </xdr:from>
    <xdr:to>
      <xdr:col>10</xdr:col>
      <xdr:colOff>811388</xdr:colOff>
      <xdr:row>21</xdr:row>
      <xdr:rowOff>56436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9949741031" y="658791"/>
          <a:ext cx="6880187" cy="3269097"/>
          <a:chOff x="10013872066" y="647752"/>
          <a:chExt cx="6658978" cy="2862892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10013872066" y="700206"/>
            <a:ext cx="6658978" cy="2810438"/>
            <a:chOff x="9999386399" y="618564"/>
            <a:chExt cx="6650131" cy="2810438"/>
          </a:xfrm>
        </xdr:grpSpPr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9999386399" y="771525"/>
              <a:ext cx="6650131" cy="2657477"/>
            </a:xfrm>
            <a:prstGeom prst="roundRect">
              <a:avLst>
                <a:gd name="adj" fmla="val 4639"/>
              </a:avLst>
            </a:prstGeom>
            <a:solidFill>
              <a:srgbClr val="E4E4E4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>
                <a:solidFill>
                  <a:schemeClr val="bg1"/>
                </a:solidFill>
              </a:endParaRPr>
            </a:p>
          </xdr:txBody>
        </xdr:sp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/>
          </xdr:nvGrpSpPr>
          <xdr:grpSpPr>
            <a:xfrm>
              <a:off x="10001328720" y="618564"/>
              <a:ext cx="2765612" cy="247649"/>
              <a:chOff x="10001630440" y="685800"/>
              <a:chExt cx="2765612" cy="247649"/>
            </a:xfrm>
          </xdr:grpSpPr>
          <xdr:sp macro="" textlink="">
            <xdr:nvSpPr>
              <xdr:cNvPr id="14" name="Isosceles Triangle 13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10004291277" y="697507"/>
                <a:ext cx="104775" cy="142875"/>
              </a:xfrm>
              <a:prstGeom prst="triangle">
                <a:avLst/>
              </a:prstGeom>
              <a:solidFill>
                <a:srgbClr val="23064E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r" rtl="1"/>
                <a:endParaRPr lang="en-US" sz="1100"/>
              </a:p>
            </xdr:txBody>
          </xdr:sp>
          <xdr:sp macro="" textlink="">
            <xdr:nvSpPr>
              <xdr:cNvPr id="7" name="Isosceles Triangle 6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0001630440" y="703110"/>
                <a:ext cx="104775" cy="142875"/>
              </a:xfrm>
              <a:prstGeom prst="triangle">
                <a:avLst/>
              </a:prstGeom>
              <a:solidFill>
                <a:srgbClr val="23064E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r" rtl="1"/>
                <a:endPara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" name="Trapezoid 5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 flipV="1">
                <a:off x="10001694874" y="685800"/>
                <a:ext cx="2644028" cy="247649"/>
              </a:xfrm>
              <a:prstGeom prst="trapezoid">
                <a:avLst>
                  <a:gd name="adj" fmla="val 859"/>
                </a:avLst>
              </a:prstGeom>
              <a:solidFill>
                <a:srgbClr val="480D9F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r" rtl="1"/>
                <a:endParaRPr lang="en-US" sz="1100"/>
              </a:p>
            </xdr:txBody>
          </xdr:sp>
        </xdr:grpSp>
      </xdr:grp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10016016348" y="647752"/>
            <a:ext cx="2370537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 rtl="1"/>
            <a:r>
              <a:rPr lang="fa-IR" sz="1600" b="1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SamanBank" panose="00000500000000000000" pitchFamily="2" charset="-78"/>
                <a:cs typeface="B Nazanin" panose="00000400000000000000" pitchFamily="2" charset="-78"/>
              </a:rPr>
              <a:t>درصد تحقق شاخص ها</a:t>
            </a:r>
            <a:endParaRPr lang="en-US" sz="1600" b="1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amanBank" panose="00000500000000000000" pitchFamily="2" charset="-78"/>
              <a:cs typeface="B Nazanin" panose="00000400000000000000" pitchFamily="2" charset="-78"/>
            </a:endParaRPr>
          </a:p>
        </xdr:txBody>
      </xdr:sp>
    </xdr:grpSp>
    <xdr:clientData/>
  </xdr:twoCellAnchor>
  <xdr:twoCellAnchor>
    <xdr:from>
      <xdr:col>2</xdr:col>
      <xdr:colOff>322729</xdr:colOff>
      <xdr:row>4</xdr:row>
      <xdr:rowOff>128468</xdr:rowOff>
    </xdr:from>
    <xdr:to>
      <xdr:col>2</xdr:col>
      <xdr:colOff>322729</xdr:colOff>
      <xdr:row>20</xdr:row>
      <xdr:rowOff>112889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9939946104" y="862246"/>
          <a:ext cx="0" cy="2919532"/>
        </a:xfrm>
        <a:prstGeom prst="line">
          <a:avLst/>
        </a:prstGeom>
        <a:ln w="19050">
          <a:solidFill>
            <a:srgbClr val="480D9F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0</xdr:row>
      <xdr:rowOff>130343</xdr:rowOff>
    </xdr:from>
    <xdr:to>
      <xdr:col>10</xdr:col>
      <xdr:colOff>551447</xdr:colOff>
      <xdr:row>2</xdr:row>
      <xdr:rowOff>110290</xdr:rowOff>
    </xdr:to>
    <xdr:sp macro="" textlink="$O$4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0013873132" y="130343"/>
          <a:ext cx="782053" cy="360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fld id="{E72C62F6-3484-4316-B237-C9FAE7791599}" type="TxLink">
            <a:rPr lang="fa-IR" sz="1800" b="0" i="0" u="none" strike="noStrike">
              <a:solidFill>
                <a:schemeClr val="bg1"/>
              </a:solidFill>
              <a:latin typeface="SamanBank" panose="00000500000000000000" pitchFamily="2" charset="-78"/>
              <a:cs typeface="SamanBank" panose="00000500000000000000" pitchFamily="2" charset="-78"/>
            </a:rPr>
            <a:pPr algn="ctr" rtl="1"/>
            <a:t>زمستان</a:t>
          </a:fld>
          <a:endParaRPr lang="en-US" sz="1800">
            <a:solidFill>
              <a:schemeClr val="bg1"/>
            </a:solidFill>
            <a:latin typeface="SamanBank" panose="00000500000000000000" pitchFamily="2" charset="-78"/>
            <a:cs typeface="SamanBank" panose="00000500000000000000" pitchFamily="2" charset="-78"/>
          </a:endParaRPr>
        </a:p>
      </xdr:txBody>
    </xdr:sp>
    <xdr:clientData/>
  </xdr:twoCellAnchor>
  <xdr:twoCellAnchor>
    <xdr:from>
      <xdr:col>8</xdr:col>
      <xdr:colOff>286021</xdr:colOff>
      <xdr:row>5</xdr:row>
      <xdr:rowOff>98237</xdr:rowOff>
    </xdr:from>
    <xdr:to>
      <xdr:col>11</xdr:col>
      <xdr:colOff>307188</xdr:colOff>
      <xdr:row>22</xdr:row>
      <xdr:rowOff>120490</xdr:rowOff>
    </xdr:to>
    <xdr:grpSp>
      <xdr:nvGrpSpPr>
        <xdr:cNvPr id="7284" name="Group 7283">
          <a:extLst>
            <a:ext uri="{FF2B5EF4-FFF2-40B4-BE49-F238E27FC236}">
              <a16:creationId xmlns:a16="http://schemas.microsoft.com/office/drawing/2014/main" id="{F61F642D-4A6C-06C3-2716-BE48C45E6049}"/>
            </a:ext>
          </a:extLst>
        </xdr:cNvPr>
        <xdr:cNvGrpSpPr/>
      </xdr:nvGrpSpPr>
      <xdr:grpSpPr>
        <a:xfrm>
          <a:off x="9949371253" y="1020011"/>
          <a:ext cx="2110522" cy="3156285"/>
          <a:chOff x="9996668774" y="1026314"/>
          <a:chExt cx="2116667" cy="3177714"/>
        </a:xfrm>
      </xdr:grpSpPr>
      <xdr:grpSp>
        <xdr:nvGrpSpPr>
          <xdr:cNvPr id="7281" name="Group 7280">
            <a:extLst>
              <a:ext uri="{FF2B5EF4-FFF2-40B4-BE49-F238E27FC236}">
                <a16:creationId xmlns:a16="http://schemas.microsoft.com/office/drawing/2014/main" id="{361E0501-8D8B-75F4-6358-AB9158DAEDC5}"/>
              </a:ext>
            </a:extLst>
          </xdr:cNvPr>
          <xdr:cNvGrpSpPr/>
        </xdr:nvGrpSpPr>
        <xdr:grpSpPr>
          <a:xfrm>
            <a:off x="9996687520" y="1026314"/>
            <a:ext cx="1974720" cy="1707986"/>
            <a:chOff x="9996687520" y="1026314"/>
            <a:chExt cx="1974720" cy="1707986"/>
          </a:xfrm>
        </xdr:grpSpPr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AD62CB8C-1E82-55DA-6368-B6D6EF7B9E02}"/>
                </a:ext>
              </a:extLst>
            </xdr:cNvPr>
            <xdr:cNvGraphicFramePr/>
          </xdr:nvGraphicFramePr>
          <xdr:xfrm>
            <a:off x="9997004939" y="1336952"/>
            <a:ext cx="1333339" cy="109250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280B942E-8404-2C4D-1D42-37E7914D3A2E}"/>
                </a:ext>
              </a:extLst>
            </xdr:cNvPr>
            <xdr:cNvSpPr/>
          </xdr:nvSpPr>
          <xdr:spPr>
            <a:xfrm>
              <a:off x="9997122499" y="1026314"/>
              <a:ext cx="1168097" cy="209495"/>
            </a:xfrm>
            <a:prstGeom prst="roundRect">
              <a:avLst/>
            </a:prstGeom>
            <a:solidFill>
              <a:srgbClr val="480D9F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 rtl="1"/>
              <a:r>
                <a:rPr lang="fa-IR" sz="800" b="1"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Webdings" panose="05030102010509060703" pitchFamily="18" charset="2"/>
                  <a:cs typeface="B Nazanin" panose="00000400000000000000" pitchFamily="2" charset="-78"/>
                </a:rPr>
                <a:t>شاخص بهره وری کارکنان</a:t>
              </a:r>
              <a:endParaRPr lang="en-US" sz="80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Webdings" panose="05030102010509060703" pitchFamily="18" charset="2"/>
                <a:cs typeface="B Nazanin" panose="00000400000000000000" pitchFamily="2" charset="-78"/>
              </a:endParaRPr>
            </a:p>
          </xdr:txBody>
        </xdr:sp>
        <xdr:sp macro="" textlink="calcu!B2">
          <xdr:nvSpPr>
            <xdr:cNvPr id="7236" name="TextBox 7235">
              <a:extLst>
                <a:ext uri="{FF2B5EF4-FFF2-40B4-BE49-F238E27FC236}">
                  <a16:creationId xmlns:a16="http://schemas.microsoft.com/office/drawing/2014/main" id="{60BA877C-A18D-0D0B-9A7A-DFDA1DF87A3D}"/>
                </a:ext>
              </a:extLst>
            </xdr:cNvPr>
            <xdr:cNvSpPr txBox="1"/>
          </xdr:nvSpPr>
          <xdr:spPr>
            <a:xfrm>
              <a:off x="9997441503" y="2166605"/>
              <a:ext cx="462411" cy="300675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3d extrusionH="57150">
                <a:bevelT w="38100" h="38100" prst="convex"/>
              </a:sp3d>
            </a:bodyPr>
            <a:lstStyle/>
            <a:p>
              <a:pPr algn="ctr" rtl="1"/>
              <a:fld id="{516A08F0-FCFD-4065-B5A2-875994CB7607}" type="TxLink">
                <a:rPr lang="en-US" sz="1200" b="1" i="0" u="none" strike="noStrike">
                  <a:solidFill>
                    <a:schemeClr val="bg1"/>
                  </a:solidFill>
                  <a:latin typeface="Calibri"/>
                  <a:cs typeface="B Titr" panose="00000700000000000000" pitchFamily="2" charset="-78"/>
                </a:rPr>
                <a:pPr algn="ctr" rtl="1"/>
                <a:t>60%</a:t>
              </a:fld>
              <a:endParaRPr lang="en-US" sz="1200" b="1">
                <a:solidFill>
                  <a:schemeClr val="bg1"/>
                </a:solidFill>
                <a:cs typeface="B Titr" panose="00000700000000000000" pitchFamily="2" charset="-78"/>
              </a:endParaRPr>
            </a:p>
          </xdr:txBody>
        </xdr:sp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DBE96F22-4E9C-0E60-A0DE-6B8F3381514A}"/>
                </a:ext>
              </a:extLst>
            </xdr:cNvPr>
            <xdr:cNvGraphicFramePr/>
          </xdr:nvGraphicFramePr>
          <xdr:xfrm>
            <a:off x="9996687520" y="1032107"/>
            <a:ext cx="1974720" cy="170219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7263" name="Oval 7262">
              <a:extLst>
                <a:ext uri="{FF2B5EF4-FFF2-40B4-BE49-F238E27FC236}">
                  <a16:creationId xmlns:a16="http://schemas.microsoft.com/office/drawing/2014/main" id="{9EE7E173-DB65-7DFC-CB0E-196B0B77A9AE}"/>
                </a:ext>
              </a:extLst>
            </xdr:cNvPr>
            <xdr:cNvSpPr/>
          </xdr:nvSpPr>
          <xdr:spPr>
            <a:xfrm>
              <a:off x="9997615845" y="1836617"/>
              <a:ext cx="107462" cy="102577"/>
            </a:xfrm>
            <a:prstGeom prst="ellipse">
              <a:avLst/>
            </a:prstGeom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27000">
                  <a:schemeClr val="bg2">
                    <a:lumMod val="25000"/>
                  </a:schemeClr>
                </a:gs>
                <a:gs pos="14000">
                  <a:schemeClr val="accent3">
                    <a:lumMod val="60000"/>
                    <a:lumOff val="4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</xdr:grpSp>
      <xdr:grpSp>
        <xdr:nvGrpSpPr>
          <xdr:cNvPr id="7283" name="Group 7282">
            <a:extLst>
              <a:ext uri="{FF2B5EF4-FFF2-40B4-BE49-F238E27FC236}">
                <a16:creationId xmlns:a16="http://schemas.microsoft.com/office/drawing/2014/main" id="{AD87B8AB-758A-7F20-3AFB-3EC693912FF5}"/>
              </a:ext>
            </a:extLst>
          </xdr:cNvPr>
          <xdr:cNvGrpSpPr/>
        </xdr:nvGrpSpPr>
        <xdr:grpSpPr>
          <a:xfrm>
            <a:off x="9996668774" y="2477045"/>
            <a:ext cx="2116667" cy="1726983"/>
            <a:chOff x="9996663890" y="2462391"/>
            <a:chExt cx="2116667" cy="1726983"/>
          </a:xfrm>
        </xdr:grpSpPr>
        <xdr:grpSp>
          <xdr:nvGrpSpPr>
            <xdr:cNvPr id="7255" name="Group 7254">
              <a:extLst>
                <a:ext uri="{FF2B5EF4-FFF2-40B4-BE49-F238E27FC236}">
                  <a16:creationId xmlns:a16="http://schemas.microsoft.com/office/drawing/2014/main" id="{7924805F-1599-778E-753F-6C8CE9049AE4}"/>
                </a:ext>
              </a:extLst>
            </xdr:cNvPr>
            <xdr:cNvGrpSpPr/>
          </xdr:nvGrpSpPr>
          <xdr:grpSpPr>
            <a:xfrm>
              <a:off x="9996663890" y="2462391"/>
              <a:ext cx="2116667" cy="1726983"/>
              <a:chOff x="9978678925" y="2378074"/>
              <a:chExt cx="4572000" cy="2743200"/>
            </a:xfrm>
          </xdr:grpSpPr>
          <xdr:graphicFrame macro="">
            <xdr:nvGraphicFramePr>
              <xdr:cNvPr id="7256" name="Chart 7255">
                <a:extLst>
                  <a:ext uri="{FF2B5EF4-FFF2-40B4-BE49-F238E27FC236}">
                    <a16:creationId xmlns:a16="http://schemas.microsoft.com/office/drawing/2014/main" id="{D8B31E3B-5679-A37C-D654-491B1270EC73}"/>
                  </a:ext>
                </a:extLst>
              </xdr:cNvPr>
              <xdr:cNvGraphicFramePr/>
            </xdr:nvGraphicFramePr>
            <xdr:xfrm>
              <a:off x="9978678925" y="2378074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7257" name="Chart 7256">
                <a:extLst>
                  <a:ext uri="{FF2B5EF4-FFF2-40B4-BE49-F238E27FC236}">
                    <a16:creationId xmlns:a16="http://schemas.microsoft.com/office/drawing/2014/main" id="{01ED296A-00F8-CAC9-A791-5C4A831C2A85}"/>
                  </a:ext>
                </a:extLst>
              </xdr:cNvPr>
              <xdr:cNvGraphicFramePr/>
            </xdr:nvGraphicFramePr>
            <xdr:xfrm>
              <a:off x="9979420288" y="2868612"/>
              <a:ext cx="3089275" cy="176212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7260" name="Rectangle: Rounded Corners 7259">
              <a:extLst>
                <a:ext uri="{FF2B5EF4-FFF2-40B4-BE49-F238E27FC236}">
                  <a16:creationId xmlns:a16="http://schemas.microsoft.com/office/drawing/2014/main" id="{7B1F7525-E3D9-4236-8A11-AC59233D0177}"/>
                </a:ext>
              </a:extLst>
            </xdr:cNvPr>
            <xdr:cNvSpPr/>
          </xdr:nvSpPr>
          <xdr:spPr>
            <a:xfrm>
              <a:off x="9997131055" y="2505461"/>
              <a:ext cx="1168097" cy="209495"/>
            </a:xfrm>
            <a:prstGeom prst="roundRect">
              <a:avLst/>
            </a:prstGeom>
            <a:solidFill>
              <a:srgbClr val="480D9F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 rtl="1"/>
              <a:r>
                <a:rPr lang="fa-IR" sz="900" b="1"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Webdings" panose="05030102010509060703" pitchFamily="18" charset="2"/>
                  <a:cs typeface="B Nazanin" panose="00000400000000000000" pitchFamily="2" charset="-78"/>
                </a:rPr>
                <a:t>شاخص وفاداری کارکنان </a:t>
              </a:r>
              <a:endParaRPr lang="en-US" sz="90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Webdings" panose="05030102010509060703" pitchFamily="18" charset="2"/>
                <a:cs typeface="B Nazanin" panose="00000400000000000000" pitchFamily="2" charset="-78"/>
              </a:endParaRPr>
            </a:p>
          </xdr:txBody>
        </xdr:sp>
        <xdr:sp macro="" textlink="calcu!F2">
          <xdr:nvSpPr>
            <xdr:cNvPr id="7262" name="TextBox 7261">
              <a:extLst>
                <a:ext uri="{FF2B5EF4-FFF2-40B4-BE49-F238E27FC236}">
                  <a16:creationId xmlns:a16="http://schemas.microsoft.com/office/drawing/2014/main" id="{41329AA6-B163-48E9-9AA6-72D3155DFADF}"/>
                </a:ext>
              </a:extLst>
            </xdr:cNvPr>
            <xdr:cNvSpPr txBox="1"/>
          </xdr:nvSpPr>
          <xdr:spPr>
            <a:xfrm>
              <a:off x="9997504587" y="3624038"/>
              <a:ext cx="462411" cy="300675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3d extrusionH="57150">
                <a:bevelT w="38100" h="38100" prst="convex"/>
              </a:sp3d>
            </a:bodyPr>
            <a:lstStyle/>
            <a:p>
              <a:pPr algn="ctr" rtl="1"/>
              <a:fld id="{BE07D6A3-7766-46A1-A9C6-3246F2C39A20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 rtl="1"/>
                <a:t>30%</a:t>
              </a:fld>
              <a:endParaRPr lang="en-US" sz="1200" b="1">
                <a:solidFill>
                  <a:schemeClr val="bg1"/>
                </a:solidFill>
                <a:cs typeface="B Titr" panose="00000700000000000000" pitchFamily="2" charset="-78"/>
              </a:endParaRPr>
            </a:p>
          </xdr:txBody>
        </xdr:sp>
        <xdr:sp macro="" textlink="">
          <xdr:nvSpPr>
            <xdr:cNvPr id="7264" name="Oval 7263">
              <a:extLst>
                <a:ext uri="{FF2B5EF4-FFF2-40B4-BE49-F238E27FC236}">
                  <a16:creationId xmlns:a16="http://schemas.microsoft.com/office/drawing/2014/main" id="{2BD0CA04-7FDF-475B-B096-D4896942D058}"/>
                </a:ext>
              </a:extLst>
            </xdr:cNvPr>
            <xdr:cNvSpPr/>
          </xdr:nvSpPr>
          <xdr:spPr>
            <a:xfrm>
              <a:off x="9997659808" y="3277575"/>
              <a:ext cx="107462" cy="102577"/>
            </a:xfrm>
            <a:prstGeom prst="ellipse">
              <a:avLst/>
            </a:prstGeom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27000">
                  <a:schemeClr val="bg2">
                    <a:lumMod val="25000"/>
                  </a:schemeClr>
                </a:gs>
                <a:gs pos="14000">
                  <a:schemeClr val="accent3">
                    <a:lumMod val="60000"/>
                    <a:lumOff val="4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</xdr:grpSp>
    </xdr:grpSp>
    <xdr:clientData/>
  </xdr:twoCellAnchor>
  <xdr:twoCellAnchor>
    <xdr:from>
      <xdr:col>6</xdr:col>
      <xdr:colOff>246942</xdr:colOff>
      <xdr:row>13</xdr:row>
      <xdr:rowOff>64046</xdr:rowOff>
    </xdr:from>
    <xdr:to>
      <xdr:col>9</xdr:col>
      <xdr:colOff>531879</xdr:colOff>
      <xdr:row>22</xdr:row>
      <xdr:rowOff>120491</xdr:rowOff>
    </xdr:to>
    <xdr:grpSp>
      <xdr:nvGrpSpPr>
        <xdr:cNvPr id="7266" name="Group 7265">
          <a:extLst>
            <a:ext uri="{FF2B5EF4-FFF2-40B4-BE49-F238E27FC236}">
              <a16:creationId xmlns:a16="http://schemas.microsoft.com/office/drawing/2014/main" id="{DF1EAA00-5117-8823-85DF-C129C8D54E77}"/>
            </a:ext>
          </a:extLst>
        </xdr:cNvPr>
        <xdr:cNvGrpSpPr/>
      </xdr:nvGrpSpPr>
      <xdr:grpSpPr>
        <a:xfrm>
          <a:off x="9950628228" y="2460659"/>
          <a:ext cx="2108002" cy="1715638"/>
          <a:chOff x="9996644351" y="2477047"/>
          <a:chExt cx="2116667" cy="1726983"/>
        </a:xfrm>
      </xdr:grpSpPr>
      <xdr:grpSp>
        <xdr:nvGrpSpPr>
          <xdr:cNvPr id="7267" name="Group 7266">
            <a:extLst>
              <a:ext uri="{FF2B5EF4-FFF2-40B4-BE49-F238E27FC236}">
                <a16:creationId xmlns:a16="http://schemas.microsoft.com/office/drawing/2014/main" id="{E2254179-9576-53DA-08A5-D24C07E561C9}"/>
              </a:ext>
            </a:extLst>
          </xdr:cNvPr>
          <xdr:cNvGrpSpPr/>
        </xdr:nvGrpSpPr>
        <xdr:grpSpPr>
          <a:xfrm>
            <a:off x="9996644351" y="2477047"/>
            <a:ext cx="2116667" cy="1726983"/>
            <a:chOff x="9978678925" y="2378074"/>
            <a:chExt cx="4572000" cy="2743200"/>
          </a:xfrm>
        </xdr:grpSpPr>
        <xdr:graphicFrame macro="">
          <xdr:nvGraphicFramePr>
            <xdr:cNvPr id="7271" name="Chart 7270">
              <a:extLst>
                <a:ext uri="{FF2B5EF4-FFF2-40B4-BE49-F238E27FC236}">
                  <a16:creationId xmlns:a16="http://schemas.microsoft.com/office/drawing/2014/main" id="{F7E4E02E-FFDB-F98C-F2AE-F45EB050E47C}"/>
                </a:ext>
              </a:extLst>
            </xdr:cNvPr>
            <xdr:cNvGraphicFramePr/>
          </xdr:nvGraphicFramePr>
          <xdr:xfrm>
            <a:off x="9978678925" y="2378074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7272" name="Chart 7271">
              <a:extLst>
                <a:ext uri="{FF2B5EF4-FFF2-40B4-BE49-F238E27FC236}">
                  <a16:creationId xmlns:a16="http://schemas.microsoft.com/office/drawing/2014/main" id="{A53FC6C9-EC6E-E693-0F61-BB9CDD45B49D}"/>
                </a:ext>
              </a:extLst>
            </xdr:cNvPr>
            <xdr:cNvGraphicFramePr/>
          </xdr:nvGraphicFramePr>
          <xdr:xfrm>
            <a:off x="9979420288" y="2868612"/>
            <a:ext cx="3089275" cy="17621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7268" name="Rectangle: Rounded Corners 7267">
            <a:extLst>
              <a:ext uri="{FF2B5EF4-FFF2-40B4-BE49-F238E27FC236}">
                <a16:creationId xmlns:a16="http://schemas.microsoft.com/office/drawing/2014/main" id="{6B469C52-2370-4982-DE13-80FA9E846CFF}"/>
              </a:ext>
            </a:extLst>
          </xdr:cNvPr>
          <xdr:cNvSpPr/>
        </xdr:nvSpPr>
        <xdr:spPr>
          <a:xfrm>
            <a:off x="9997111516" y="2520117"/>
            <a:ext cx="1168097" cy="209495"/>
          </a:xfrm>
          <a:prstGeom prst="roundRect">
            <a:avLst/>
          </a:prstGeom>
          <a:solidFill>
            <a:srgbClr val="480D9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rtl="1"/>
            <a:r>
              <a:rPr lang="fa-IR" sz="105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Webdings" panose="05030102010509060703" pitchFamily="18" charset="2"/>
                <a:cs typeface="B Nazanin" panose="00000400000000000000" pitchFamily="2" charset="-78"/>
              </a:rPr>
              <a:t>شاخص سطح زندگی </a:t>
            </a:r>
            <a:endParaRPr lang="en-US" sz="1050" b="1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endParaRPr>
          </a:p>
        </xdr:txBody>
      </xdr:sp>
      <xdr:sp macro="" textlink="calcu!G2">
        <xdr:nvSpPr>
          <xdr:cNvPr id="7269" name="TextBox 7268">
            <a:extLst>
              <a:ext uri="{FF2B5EF4-FFF2-40B4-BE49-F238E27FC236}">
                <a16:creationId xmlns:a16="http://schemas.microsoft.com/office/drawing/2014/main" id="{047FF579-5E4F-F1C1-46EC-BDB504012A84}"/>
              </a:ext>
            </a:extLst>
          </xdr:cNvPr>
          <xdr:cNvSpPr txBox="1"/>
        </xdr:nvSpPr>
        <xdr:spPr>
          <a:xfrm>
            <a:off x="9997485048" y="3638694"/>
            <a:ext cx="462411" cy="300675"/>
          </a:xfrm>
          <a:prstGeom prst="rect">
            <a:avLst/>
          </a:prstGeom>
          <a:solidFill>
            <a:schemeClr val="bg2">
              <a:lumMod val="50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3d extrusionH="57150">
              <a:bevelT w="38100" h="38100" prst="convex"/>
            </a:sp3d>
          </a:bodyPr>
          <a:lstStyle/>
          <a:p>
            <a:pPr algn="ctr" rtl="1"/>
            <a:fld id="{EF3179D5-E22F-41B4-A7FC-35BC2E0952B3}" type="TxLink">
              <a:rPr lang="en-US" sz="11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 rtl="1"/>
              <a:t>40%</a:t>
            </a:fld>
            <a:endParaRPr lang="en-US" sz="1200" b="1">
              <a:solidFill>
                <a:schemeClr val="bg1"/>
              </a:solidFill>
              <a:cs typeface="B Titr" panose="00000700000000000000" pitchFamily="2" charset="-78"/>
            </a:endParaRPr>
          </a:p>
        </xdr:txBody>
      </xdr:sp>
      <xdr:sp macro="" textlink="">
        <xdr:nvSpPr>
          <xdr:cNvPr id="7270" name="Oval 7269">
            <a:extLst>
              <a:ext uri="{FF2B5EF4-FFF2-40B4-BE49-F238E27FC236}">
                <a16:creationId xmlns:a16="http://schemas.microsoft.com/office/drawing/2014/main" id="{A12FCBB3-E008-4722-2CA2-C317A357F438}"/>
              </a:ext>
            </a:extLst>
          </xdr:cNvPr>
          <xdr:cNvSpPr/>
        </xdr:nvSpPr>
        <xdr:spPr>
          <a:xfrm>
            <a:off x="9997640269" y="3292231"/>
            <a:ext cx="107462" cy="102577"/>
          </a:xfrm>
          <a:prstGeom prst="ellipse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27000">
                <a:schemeClr val="bg2">
                  <a:lumMod val="25000"/>
                </a:schemeClr>
              </a:gs>
              <a:gs pos="14000">
                <a:schemeClr val="accent3">
                  <a:lumMod val="60000"/>
                  <a:lumOff val="40000"/>
                </a:schemeClr>
              </a:gs>
            </a:gsLst>
            <a:lin ang="2160000" scaled="0"/>
            <a:tileRect/>
          </a:gra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</xdr:grpSp>
    <xdr:clientData/>
  </xdr:twoCellAnchor>
  <xdr:twoCellAnchor>
    <xdr:from>
      <xdr:col>6</xdr:col>
      <xdr:colOff>246942</xdr:colOff>
      <xdr:row>5</xdr:row>
      <xdr:rowOff>59160</xdr:rowOff>
    </xdr:from>
    <xdr:to>
      <xdr:col>9</xdr:col>
      <xdr:colOff>531879</xdr:colOff>
      <xdr:row>14</xdr:row>
      <xdr:rowOff>115605</xdr:rowOff>
    </xdr:to>
    <xdr:grpSp>
      <xdr:nvGrpSpPr>
        <xdr:cNvPr id="7274" name="Group 7273">
          <a:extLst>
            <a:ext uri="{FF2B5EF4-FFF2-40B4-BE49-F238E27FC236}">
              <a16:creationId xmlns:a16="http://schemas.microsoft.com/office/drawing/2014/main" id="{5910A36E-2FD6-48AB-9FB6-9441A5296A0E}"/>
            </a:ext>
          </a:extLst>
        </xdr:cNvPr>
        <xdr:cNvGrpSpPr/>
      </xdr:nvGrpSpPr>
      <xdr:grpSpPr>
        <a:xfrm>
          <a:off x="9950628228" y="980934"/>
          <a:ext cx="2108002" cy="1715639"/>
          <a:chOff x="9978678925" y="2378074"/>
          <a:chExt cx="4572000" cy="2743200"/>
        </a:xfrm>
      </xdr:grpSpPr>
      <xdr:graphicFrame macro="">
        <xdr:nvGraphicFramePr>
          <xdr:cNvPr id="7278" name="Chart 7277">
            <a:extLst>
              <a:ext uri="{FF2B5EF4-FFF2-40B4-BE49-F238E27FC236}">
                <a16:creationId xmlns:a16="http://schemas.microsoft.com/office/drawing/2014/main" id="{0887700C-AB5D-AA71-4FA3-DB16FB89ED6F}"/>
              </a:ext>
            </a:extLst>
          </xdr:cNvPr>
          <xdr:cNvGraphicFramePr/>
        </xdr:nvGraphicFramePr>
        <xdr:xfrm>
          <a:off x="9978678925" y="2378074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7279" name="Chart 7278">
            <a:extLst>
              <a:ext uri="{FF2B5EF4-FFF2-40B4-BE49-F238E27FC236}">
                <a16:creationId xmlns:a16="http://schemas.microsoft.com/office/drawing/2014/main" id="{AD4324CA-D708-7E91-D2AC-B39B00E138C4}"/>
              </a:ext>
            </a:extLst>
          </xdr:cNvPr>
          <xdr:cNvGraphicFramePr/>
        </xdr:nvGraphicFramePr>
        <xdr:xfrm>
          <a:off x="9979420288" y="2868612"/>
          <a:ext cx="3089275" cy="17621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7</xdr:col>
      <xdr:colOff>117771</xdr:colOff>
      <xdr:row>5</xdr:row>
      <xdr:rowOff>102230</xdr:rowOff>
    </xdr:from>
    <xdr:to>
      <xdr:col>9</xdr:col>
      <xdr:colOff>64714</xdr:colOff>
      <xdr:row>6</xdr:row>
      <xdr:rowOff>126110</xdr:rowOff>
    </xdr:to>
    <xdr:sp macro="" textlink="">
      <xdr:nvSpPr>
        <xdr:cNvPr id="7275" name="Rectangle: Rounded Corners 7274">
          <a:extLst>
            <a:ext uri="{FF2B5EF4-FFF2-40B4-BE49-F238E27FC236}">
              <a16:creationId xmlns:a16="http://schemas.microsoft.com/office/drawing/2014/main" id="{B8A538E6-2259-5463-070C-62E7D506CFF7}"/>
            </a:ext>
          </a:extLst>
        </xdr:cNvPr>
        <xdr:cNvSpPr/>
      </xdr:nvSpPr>
      <xdr:spPr>
        <a:xfrm>
          <a:off x="9998396171" y="1030307"/>
          <a:ext cx="1168097" cy="209495"/>
        </a:xfrm>
        <a:prstGeom prst="roundRect">
          <a:avLst/>
        </a:prstGeom>
        <a:solidFill>
          <a:srgbClr val="480D9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800" b="1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rPr>
            <a:t>شاخص پیشرفت فیزیکی </a:t>
          </a:r>
          <a:endParaRPr lang="en-US" sz="800" b="1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Webdings" panose="05030102010509060703" pitchFamily="18" charset="2"/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449925</xdr:colOff>
      <xdr:row>11</xdr:row>
      <xdr:rowOff>131543</xdr:rowOff>
    </xdr:from>
    <xdr:to>
      <xdr:col>8</xdr:col>
      <xdr:colOff>301759</xdr:colOff>
      <xdr:row>13</xdr:row>
      <xdr:rowOff>60987</xdr:rowOff>
    </xdr:to>
    <xdr:sp macro="" textlink="calcu!C2">
      <xdr:nvSpPr>
        <xdr:cNvPr id="7276" name="TextBox 7275">
          <a:extLst>
            <a:ext uri="{FF2B5EF4-FFF2-40B4-BE49-F238E27FC236}">
              <a16:creationId xmlns:a16="http://schemas.microsoft.com/office/drawing/2014/main" id="{25371DFF-5330-2628-CC73-0C6FF3F3384E}"/>
            </a:ext>
          </a:extLst>
        </xdr:cNvPr>
        <xdr:cNvSpPr txBox="1"/>
      </xdr:nvSpPr>
      <xdr:spPr>
        <a:xfrm>
          <a:off x="9998769703" y="2173312"/>
          <a:ext cx="462411" cy="30067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3d extrusionH="57150">
            <a:bevelT w="38100" h="38100" prst="convex"/>
          </a:sp3d>
        </a:bodyPr>
        <a:lstStyle/>
        <a:p>
          <a:pPr algn="ctr" rtl="1"/>
          <a:fld id="{5551C373-D296-4E30-A92B-1011ACAB2B8C}" type="TxLink">
            <a:rPr lang="en-US" sz="1200" b="1" i="0" u="none" strike="noStrike">
              <a:solidFill>
                <a:schemeClr val="bg1"/>
              </a:solidFill>
              <a:latin typeface="Calibri"/>
              <a:cs typeface="Calibri"/>
            </a:rPr>
            <a:pPr algn="ctr" rtl="1"/>
            <a:t>30%</a:t>
          </a:fld>
          <a:endParaRPr lang="en-US" sz="1400" b="1">
            <a:solidFill>
              <a:schemeClr val="bg1"/>
            </a:solidFill>
            <a:cs typeface="B Titr" panose="00000700000000000000" pitchFamily="2" charset="-78"/>
          </a:endParaRPr>
        </a:p>
      </xdr:txBody>
    </xdr:sp>
    <xdr:clientData/>
  </xdr:twoCellAnchor>
  <xdr:twoCellAnchor>
    <xdr:from>
      <xdr:col>8</xdr:col>
      <xdr:colOff>39076</xdr:colOff>
      <xdr:row>9</xdr:row>
      <xdr:rowOff>131883</xdr:rowOff>
    </xdr:from>
    <xdr:to>
      <xdr:col>8</xdr:col>
      <xdr:colOff>146538</xdr:colOff>
      <xdr:row>10</xdr:row>
      <xdr:rowOff>48844</xdr:rowOff>
    </xdr:to>
    <xdr:sp macro="" textlink="">
      <xdr:nvSpPr>
        <xdr:cNvPr id="7277" name="Oval 7276">
          <a:extLst>
            <a:ext uri="{FF2B5EF4-FFF2-40B4-BE49-F238E27FC236}">
              <a16:creationId xmlns:a16="http://schemas.microsoft.com/office/drawing/2014/main" id="{64D15292-DA19-96F1-E167-1879855B0787}"/>
            </a:ext>
          </a:extLst>
        </xdr:cNvPr>
        <xdr:cNvSpPr/>
      </xdr:nvSpPr>
      <xdr:spPr>
        <a:xfrm>
          <a:off x="9998924924" y="1802421"/>
          <a:ext cx="107462" cy="102577"/>
        </a:xfrm>
        <a:prstGeom prst="ellipse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27000">
              <a:schemeClr val="bg2">
                <a:lumMod val="25000"/>
              </a:schemeClr>
            </a:gs>
            <a:gs pos="14000">
              <a:schemeClr val="accent3">
                <a:lumMod val="60000"/>
                <a:lumOff val="40000"/>
              </a:schemeClr>
            </a:gs>
          </a:gsLst>
          <a:lin ang="2160000" scaled="0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203833</xdr:colOff>
      <xdr:row>5</xdr:row>
      <xdr:rowOff>110023</xdr:rowOff>
    </xdr:from>
    <xdr:to>
      <xdr:col>7</xdr:col>
      <xdr:colOff>488770</xdr:colOff>
      <xdr:row>22</xdr:row>
      <xdr:rowOff>132276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AA6846E9-B72D-1A79-B990-356DFA59FF51}"/>
            </a:ext>
          </a:extLst>
        </xdr:cNvPr>
        <xdr:cNvGrpSpPr/>
      </xdr:nvGrpSpPr>
      <xdr:grpSpPr>
        <a:xfrm>
          <a:off x="9951886714" y="1031797"/>
          <a:ext cx="2108001" cy="3156285"/>
          <a:chOff x="9946068404" y="4403175"/>
          <a:chExt cx="2107111" cy="3190351"/>
        </a:xfrm>
      </xdr:grpSpPr>
      <xdr:sp macro="" textlink="">
        <xdr:nvSpPr>
          <xdr:cNvPr id="7295" name="Rectangle: Rounded Corners 7294">
            <a:extLst>
              <a:ext uri="{FF2B5EF4-FFF2-40B4-BE49-F238E27FC236}">
                <a16:creationId xmlns:a16="http://schemas.microsoft.com/office/drawing/2014/main" id="{EC6ABD51-C38C-65D1-8288-D0263AABBE98}"/>
              </a:ext>
            </a:extLst>
          </xdr:cNvPr>
          <xdr:cNvSpPr/>
        </xdr:nvSpPr>
        <xdr:spPr>
          <a:xfrm>
            <a:off x="9946520080" y="4403175"/>
            <a:ext cx="1162824" cy="210328"/>
          </a:xfrm>
          <a:prstGeom prst="roundRect">
            <a:avLst/>
          </a:prstGeom>
          <a:solidFill>
            <a:srgbClr val="480D9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rtl="1"/>
            <a:r>
              <a:rPr lang="en-US" sz="900" b="1" i="0" u="none" strike="noStrike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B Nazanin" panose="00000400000000000000" pitchFamily="2" charset="-78"/>
              </a:rPr>
              <a:t>شاخص رضایت کارکنان</a:t>
            </a:r>
            <a:r>
              <a:rPr lang="en-US" sz="50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cs typeface="B Nazanin" panose="00000400000000000000" pitchFamily="2" charset="-78"/>
              </a:rPr>
              <a:t> </a:t>
            </a:r>
            <a:endParaRPr lang="en-US" sz="500" b="1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endParaRPr>
          </a:p>
        </xdr:txBody>
      </xdr:sp>
      <xdr:sp macro="" textlink="calcu!D2">
        <xdr:nvSpPr>
          <xdr:cNvPr id="7296" name="TextBox 7295">
            <a:extLst>
              <a:ext uri="{FF2B5EF4-FFF2-40B4-BE49-F238E27FC236}">
                <a16:creationId xmlns:a16="http://schemas.microsoft.com/office/drawing/2014/main" id="{562670E5-7A69-84C7-B644-9157A464C113}"/>
              </a:ext>
            </a:extLst>
          </xdr:cNvPr>
          <xdr:cNvSpPr txBox="1"/>
        </xdr:nvSpPr>
        <xdr:spPr>
          <a:xfrm>
            <a:off x="9946837644" y="5548000"/>
            <a:ext cx="460323" cy="301871"/>
          </a:xfrm>
          <a:prstGeom prst="rect">
            <a:avLst/>
          </a:prstGeom>
          <a:solidFill>
            <a:schemeClr val="bg2">
              <a:lumMod val="50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3d extrusionH="57150">
              <a:bevelT w="38100" h="38100" prst="convex"/>
            </a:sp3d>
          </a:bodyPr>
          <a:lstStyle/>
          <a:p>
            <a:pPr algn="ctr" rtl="1"/>
            <a:fld id="{FE9F3ED2-C0E3-4B10-BAC4-6FB13BDE1262}" type="TxLink">
              <a:rPr lang="en-US" sz="12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 rtl="1"/>
              <a:t>50%</a:t>
            </a:fld>
            <a:endParaRPr lang="en-US" sz="1400" b="1">
              <a:solidFill>
                <a:schemeClr val="bg1"/>
              </a:solidFill>
              <a:cs typeface="B Titr" panose="00000700000000000000" pitchFamily="2" charset="-78"/>
            </a:endParaRPr>
          </a:p>
        </xdr:txBody>
      </xdr: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358C86FF-7C5F-1838-2EF9-F77C8E10B07E}"/>
              </a:ext>
            </a:extLst>
          </xdr:cNvPr>
          <xdr:cNvGrpSpPr/>
        </xdr:nvGrpSpPr>
        <xdr:grpSpPr>
          <a:xfrm>
            <a:off x="9946088017" y="4429698"/>
            <a:ext cx="1965805" cy="1708962"/>
            <a:chOff x="9945059593" y="4402089"/>
            <a:chExt cx="1965805" cy="1708962"/>
          </a:xfrm>
        </xdr:grpSpPr>
        <xdr:graphicFrame macro="">
          <xdr:nvGraphicFramePr>
            <xdr:cNvPr id="7294" name="Chart 7293">
              <a:extLst>
                <a:ext uri="{FF2B5EF4-FFF2-40B4-BE49-F238E27FC236}">
                  <a16:creationId xmlns:a16="http://schemas.microsoft.com/office/drawing/2014/main" id="{BDD08C23-6268-622D-73D4-16F23F32DC5B}"/>
                </a:ext>
              </a:extLst>
            </xdr:cNvPr>
            <xdr:cNvGraphicFramePr/>
          </xdr:nvGraphicFramePr>
          <xdr:xfrm>
            <a:off x="9945378835" y="4708146"/>
            <a:ext cx="1327320" cy="109684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7297" name="Chart 7296">
              <a:extLst>
                <a:ext uri="{FF2B5EF4-FFF2-40B4-BE49-F238E27FC236}">
                  <a16:creationId xmlns:a16="http://schemas.microsoft.com/office/drawing/2014/main" id="{48809E33-DFC3-1EE1-3323-BF565733617E}"/>
                </a:ext>
              </a:extLst>
            </xdr:cNvPr>
            <xdr:cNvGraphicFramePr/>
          </xdr:nvGraphicFramePr>
          <xdr:xfrm>
            <a:off x="9945059593" y="4402089"/>
            <a:ext cx="1965805" cy="17089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7298" name="Oval 7297">
              <a:extLst>
                <a:ext uri="{FF2B5EF4-FFF2-40B4-BE49-F238E27FC236}">
                  <a16:creationId xmlns:a16="http://schemas.microsoft.com/office/drawing/2014/main" id="{73574EE8-8420-0039-8A41-564D6FDADC22}"/>
                </a:ext>
              </a:extLst>
            </xdr:cNvPr>
            <xdr:cNvSpPr/>
          </xdr:nvSpPr>
          <xdr:spPr>
            <a:xfrm>
              <a:off x="9945989007" y="5205078"/>
              <a:ext cx="106977" cy="102985"/>
            </a:xfrm>
            <a:prstGeom prst="ellipse">
              <a:avLst/>
            </a:prstGeom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27000">
                  <a:schemeClr val="bg2">
                    <a:lumMod val="25000"/>
                  </a:schemeClr>
                </a:gs>
                <a:gs pos="14000">
                  <a:schemeClr val="accent3">
                    <a:lumMod val="60000"/>
                    <a:lumOff val="4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</xdr:grpSp>
      <xdr:grpSp>
        <xdr:nvGrpSpPr>
          <xdr:cNvPr id="7288" name="Group 7287">
            <a:extLst>
              <a:ext uri="{FF2B5EF4-FFF2-40B4-BE49-F238E27FC236}">
                <a16:creationId xmlns:a16="http://schemas.microsoft.com/office/drawing/2014/main" id="{B4A05F15-718E-95DD-1296-FE0C0411E980}"/>
              </a:ext>
            </a:extLst>
          </xdr:cNvPr>
          <xdr:cNvGrpSpPr/>
        </xdr:nvGrpSpPr>
        <xdr:grpSpPr>
          <a:xfrm>
            <a:off x="9946068404" y="5859675"/>
            <a:ext cx="2107111" cy="1733851"/>
            <a:chOff x="9978678925" y="2378074"/>
            <a:chExt cx="4572000" cy="2743200"/>
          </a:xfrm>
        </xdr:grpSpPr>
        <xdr:graphicFrame macro="">
          <xdr:nvGraphicFramePr>
            <xdr:cNvPr id="7292" name="Chart 7291">
              <a:extLst>
                <a:ext uri="{FF2B5EF4-FFF2-40B4-BE49-F238E27FC236}">
                  <a16:creationId xmlns:a16="http://schemas.microsoft.com/office/drawing/2014/main" id="{7375937C-3668-59F2-ADBF-FAA3DD2BEDEF}"/>
                </a:ext>
              </a:extLst>
            </xdr:cNvPr>
            <xdr:cNvGraphicFramePr/>
          </xdr:nvGraphicFramePr>
          <xdr:xfrm>
            <a:off x="9978678925" y="2378074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7293" name="Chart 7292">
              <a:extLst>
                <a:ext uri="{FF2B5EF4-FFF2-40B4-BE49-F238E27FC236}">
                  <a16:creationId xmlns:a16="http://schemas.microsoft.com/office/drawing/2014/main" id="{C5D52827-052E-2925-A524-159C39A7D3D9}"/>
                </a:ext>
              </a:extLst>
            </xdr:cNvPr>
            <xdr:cNvGraphicFramePr/>
          </xdr:nvGraphicFramePr>
          <xdr:xfrm>
            <a:off x="9979420288" y="2868612"/>
            <a:ext cx="3089275" cy="17621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  <xdr:sp macro="" textlink="">
        <xdr:nvSpPr>
          <xdr:cNvPr id="7289" name="Rectangle: Rounded Corners 7288">
            <a:extLst>
              <a:ext uri="{FF2B5EF4-FFF2-40B4-BE49-F238E27FC236}">
                <a16:creationId xmlns:a16="http://schemas.microsoft.com/office/drawing/2014/main" id="{218DD9B5-7FAA-39BC-E312-7615EE76575D}"/>
              </a:ext>
            </a:extLst>
          </xdr:cNvPr>
          <xdr:cNvSpPr/>
        </xdr:nvSpPr>
        <xdr:spPr>
          <a:xfrm>
            <a:off x="9946533460" y="5902916"/>
            <a:ext cx="1162823" cy="210328"/>
          </a:xfrm>
          <a:prstGeom prst="roundRect">
            <a:avLst/>
          </a:prstGeom>
          <a:solidFill>
            <a:srgbClr val="480D9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rtl="1"/>
            <a:r>
              <a:rPr lang="fa-IR" sz="100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Webdings" panose="05030102010509060703" pitchFamily="18" charset="2"/>
                <a:cs typeface="B Nazanin" panose="00000400000000000000" pitchFamily="2" charset="-78"/>
              </a:rPr>
              <a:t>شاخص خلاقیت افراد </a:t>
            </a:r>
            <a:endParaRPr lang="en-US" sz="1000" b="1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endParaRPr>
          </a:p>
        </xdr:txBody>
      </xdr:sp>
      <xdr:sp macro="" textlink="calcu!H2">
        <xdr:nvSpPr>
          <xdr:cNvPr id="7290" name="TextBox 7289">
            <a:extLst>
              <a:ext uri="{FF2B5EF4-FFF2-40B4-BE49-F238E27FC236}">
                <a16:creationId xmlns:a16="http://schemas.microsoft.com/office/drawing/2014/main" id="{8DCD88AD-C11E-1561-190A-D937276ADFC5}"/>
              </a:ext>
            </a:extLst>
          </xdr:cNvPr>
          <xdr:cNvSpPr txBox="1"/>
        </xdr:nvSpPr>
        <xdr:spPr>
          <a:xfrm>
            <a:off x="9946905306" y="7025942"/>
            <a:ext cx="460323" cy="301871"/>
          </a:xfrm>
          <a:prstGeom prst="rect">
            <a:avLst/>
          </a:prstGeom>
          <a:solidFill>
            <a:schemeClr val="bg2">
              <a:lumMod val="50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3d extrusionH="57150">
              <a:bevelT w="38100" h="38100" prst="convex"/>
            </a:sp3d>
          </a:bodyPr>
          <a:lstStyle/>
          <a:p>
            <a:pPr algn="ctr" rtl="1"/>
            <a:fld id="{7D0662C0-ACCD-49B0-B109-56A40EE494AE}" type="TxLink">
              <a:rPr lang="en-US" sz="11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 rtl="1"/>
              <a:t>36%</a:t>
            </a:fld>
            <a:endParaRPr lang="en-US" sz="1200" b="1">
              <a:solidFill>
                <a:schemeClr val="bg1"/>
              </a:solidFill>
              <a:cs typeface="B Titr" panose="00000700000000000000" pitchFamily="2" charset="-78"/>
            </a:endParaRPr>
          </a:p>
        </xdr:txBody>
      </xdr:sp>
      <xdr:sp macro="" textlink="">
        <xdr:nvSpPr>
          <xdr:cNvPr id="7291" name="Oval 7290">
            <a:extLst>
              <a:ext uri="{FF2B5EF4-FFF2-40B4-BE49-F238E27FC236}">
                <a16:creationId xmlns:a16="http://schemas.microsoft.com/office/drawing/2014/main" id="{7234EF37-8E6B-931E-6E41-00A024D3961C}"/>
              </a:ext>
            </a:extLst>
          </xdr:cNvPr>
          <xdr:cNvSpPr/>
        </xdr:nvSpPr>
        <xdr:spPr>
          <a:xfrm>
            <a:off x="9947059826" y="6678101"/>
            <a:ext cx="106977" cy="102985"/>
          </a:xfrm>
          <a:prstGeom prst="ellipse">
            <a:avLst/>
          </a:prstGeom>
          <a:gradFill flip="none" rotWithShape="1">
            <a:gsLst>
              <a:gs pos="0">
                <a:schemeClr val="accent3">
                  <a:lumMod val="67000"/>
                </a:schemeClr>
              </a:gs>
              <a:gs pos="27000">
                <a:schemeClr val="bg2">
                  <a:lumMod val="25000"/>
                </a:schemeClr>
              </a:gs>
              <a:gs pos="14000">
                <a:schemeClr val="accent3">
                  <a:lumMod val="60000"/>
                  <a:lumOff val="40000"/>
                </a:schemeClr>
              </a:gs>
            </a:gsLst>
            <a:lin ang="2160000" scaled="0"/>
            <a:tileRect/>
          </a:gra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</xdr:grpSp>
    <xdr:clientData/>
  </xdr:twoCellAnchor>
  <xdr:twoCellAnchor>
    <xdr:from>
      <xdr:col>2</xdr:col>
      <xdr:colOff>198097</xdr:colOff>
      <xdr:row>5</xdr:row>
      <xdr:rowOff>103121</xdr:rowOff>
    </xdr:from>
    <xdr:to>
      <xdr:col>5</xdr:col>
      <xdr:colOff>483033</xdr:colOff>
      <xdr:row>22</xdr:row>
      <xdr:rowOff>125374</xdr:rowOff>
    </xdr:to>
    <xdr:grpSp>
      <xdr:nvGrpSpPr>
        <xdr:cNvPr id="7313" name="Group 7312">
          <a:extLst>
            <a:ext uri="{FF2B5EF4-FFF2-40B4-BE49-F238E27FC236}">
              <a16:creationId xmlns:a16="http://schemas.microsoft.com/office/drawing/2014/main" id="{FCFD95F2-53D1-B63D-1A24-82B469A43956}"/>
            </a:ext>
          </a:extLst>
        </xdr:cNvPr>
        <xdr:cNvGrpSpPr/>
      </xdr:nvGrpSpPr>
      <xdr:grpSpPr>
        <a:xfrm>
          <a:off x="9953107827" y="1024895"/>
          <a:ext cx="2108001" cy="3156285"/>
          <a:chOff x="9996668774" y="1026314"/>
          <a:chExt cx="2116667" cy="3177714"/>
        </a:xfrm>
      </xdr:grpSpPr>
      <xdr:grpSp>
        <xdr:nvGrpSpPr>
          <xdr:cNvPr id="7314" name="Group 7313">
            <a:extLst>
              <a:ext uri="{FF2B5EF4-FFF2-40B4-BE49-F238E27FC236}">
                <a16:creationId xmlns:a16="http://schemas.microsoft.com/office/drawing/2014/main" id="{D175BF07-B987-5B9C-74B7-A4186E435150}"/>
              </a:ext>
            </a:extLst>
          </xdr:cNvPr>
          <xdr:cNvGrpSpPr/>
        </xdr:nvGrpSpPr>
        <xdr:grpSpPr>
          <a:xfrm>
            <a:off x="9996687520" y="1026314"/>
            <a:ext cx="1974720" cy="1707986"/>
            <a:chOff x="9996687520" y="1026314"/>
            <a:chExt cx="1974720" cy="1707986"/>
          </a:xfrm>
        </xdr:grpSpPr>
        <xdr:graphicFrame macro="">
          <xdr:nvGraphicFramePr>
            <xdr:cNvPr id="7322" name="Chart 7321">
              <a:extLst>
                <a:ext uri="{FF2B5EF4-FFF2-40B4-BE49-F238E27FC236}">
                  <a16:creationId xmlns:a16="http://schemas.microsoft.com/office/drawing/2014/main" id="{3C616C73-87A3-06CD-202F-175F6068560C}"/>
                </a:ext>
              </a:extLst>
            </xdr:cNvPr>
            <xdr:cNvGraphicFramePr/>
          </xdr:nvGraphicFramePr>
          <xdr:xfrm>
            <a:off x="9997004939" y="1336952"/>
            <a:ext cx="1333339" cy="109250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">
          <xdr:nvSpPr>
            <xdr:cNvPr id="7323" name="Rectangle: Rounded Corners 7322">
              <a:extLst>
                <a:ext uri="{FF2B5EF4-FFF2-40B4-BE49-F238E27FC236}">
                  <a16:creationId xmlns:a16="http://schemas.microsoft.com/office/drawing/2014/main" id="{20E00892-E6BF-7692-B929-077F753CFA55}"/>
                </a:ext>
              </a:extLst>
            </xdr:cNvPr>
            <xdr:cNvSpPr/>
          </xdr:nvSpPr>
          <xdr:spPr>
            <a:xfrm>
              <a:off x="9997122499" y="1026314"/>
              <a:ext cx="1168097" cy="209495"/>
            </a:xfrm>
            <a:prstGeom prst="roundRect">
              <a:avLst/>
            </a:prstGeom>
            <a:solidFill>
              <a:srgbClr val="480D9F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 rtl="1"/>
              <a:r>
                <a:rPr lang="fa-IR" sz="650" b="1"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Webdings" panose="05030102010509060703" pitchFamily="18" charset="2"/>
                  <a:cs typeface="B Nazanin" panose="00000400000000000000" pitchFamily="2" charset="-78"/>
                </a:rPr>
                <a:t>شاخص عدم تمایل به ترک خدمت </a:t>
              </a:r>
              <a:endParaRPr lang="en-US" sz="65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Webdings" panose="05030102010509060703" pitchFamily="18" charset="2"/>
                <a:cs typeface="B Nazanin" panose="00000400000000000000" pitchFamily="2" charset="-78"/>
              </a:endParaRPr>
            </a:p>
          </xdr:txBody>
        </xdr:sp>
        <xdr:sp macro="" textlink="calcu!E2">
          <xdr:nvSpPr>
            <xdr:cNvPr id="7324" name="TextBox 7323">
              <a:extLst>
                <a:ext uri="{FF2B5EF4-FFF2-40B4-BE49-F238E27FC236}">
                  <a16:creationId xmlns:a16="http://schemas.microsoft.com/office/drawing/2014/main" id="{0BD1C036-39EA-7B97-ED56-25A21AA33780}"/>
                </a:ext>
              </a:extLst>
            </xdr:cNvPr>
            <xdr:cNvSpPr txBox="1"/>
          </xdr:nvSpPr>
          <xdr:spPr>
            <a:xfrm>
              <a:off x="9997441503" y="2166605"/>
              <a:ext cx="462411" cy="300675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3d extrusionH="57150">
                <a:bevelT w="38100" h="38100" prst="convex"/>
              </a:sp3d>
            </a:bodyPr>
            <a:lstStyle/>
            <a:p>
              <a:pPr algn="ctr" rtl="1"/>
              <a:fld id="{77A1B3C4-4F75-44FE-9FDF-C386AB104F9C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 rtl="1"/>
                <a:t>60%</a:t>
              </a:fld>
              <a:endParaRPr lang="en-US" sz="1200" b="1">
                <a:solidFill>
                  <a:schemeClr val="bg1"/>
                </a:solidFill>
                <a:cs typeface="B Titr" panose="00000700000000000000" pitchFamily="2" charset="-78"/>
              </a:endParaRPr>
            </a:p>
          </xdr:txBody>
        </xdr:sp>
        <xdr:graphicFrame macro="">
          <xdr:nvGraphicFramePr>
            <xdr:cNvPr id="7325" name="Chart 7324">
              <a:extLst>
                <a:ext uri="{FF2B5EF4-FFF2-40B4-BE49-F238E27FC236}">
                  <a16:creationId xmlns:a16="http://schemas.microsoft.com/office/drawing/2014/main" id="{16576740-1A66-21A2-5A42-0AC4A1B6B5BC}"/>
                </a:ext>
              </a:extLst>
            </xdr:cNvPr>
            <xdr:cNvGraphicFramePr/>
          </xdr:nvGraphicFramePr>
          <xdr:xfrm>
            <a:off x="9996687520" y="1032107"/>
            <a:ext cx="1974720" cy="170219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sp macro="" textlink="">
          <xdr:nvSpPr>
            <xdr:cNvPr id="7326" name="Oval 7325">
              <a:extLst>
                <a:ext uri="{FF2B5EF4-FFF2-40B4-BE49-F238E27FC236}">
                  <a16:creationId xmlns:a16="http://schemas.microsoft.com/office/drawing/2014/main" id="{641E9FCE-C422-A6A9-0226-BE73DCEB451B}"/>
                </a:ext>
              </a:extLst>
            </xdr:cNvPr>
            <xdr:cNvSpPr/>
          </xdr:nvSpPr>
          <xdr:spPr>
            <a:xfrm>
              <a:off x="9997615845" y="1836617"/>
              <a:ext cx="107462" cy="102577"/>
            </a:xfrm>
            <a:prstGeom prst="ellipse">
              <a:avLst/>
            </a:prstGeom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27000">
                  <a:schemeClr val="bg2">
                    <a:lumMod val="25000"/>
                  </a:schemeClr>
                </a:gs>
                <a:gs pos="14000">
                  <a:schemeClr val="accent3">
                    <a:lumMod val="60000"/>
                    <a:lumOff val="4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</xdr:grpSp>
      <xdr:grpSp>
        <xdr:nvGrpSpPr>
          <xdr:cNvPr id="7315" name="Group 7314">
            <a:extLst>
              <a:ext uri="{FF2B5EF4-FFF2-40B4-BE49-F238E27FC236}">
                <a16:creationId xmlns:a16="http://schemas.microsoft.com/office/drawing/2014/main" id="{D44BE3D4-0A80-DCA6-A5DB-820D9F19C5A3}"/>
              </a:ext>
            </a:extLst>
          </xdr:cNvPr>
          <xdr:cNvGrpSpPr/>
        </xdr:nvGrpSpPr>
        <xdr:grpSpPr>
          <a:xfrm>
            <a:off x="9996668774" y="2477045"/>
            <a:ext cx="2116667" cy="1726983"/>
            <a:chOff x="9996663890" y="2462391"/>
            <a:chExt cx="2116667" cy="1726983"/>
          </a:xfrm>
        </xdr:grpSpPr>
        <xdr:grpSp>
          <xdr:nvGrpSpPr>
            <xdr:cNvPr id="7316" name="Group 7315">
              <a:extLst>
                <a:ext uri="{FF2B5EF4-FFF2-40B4-BE49-F238E27FC236}">
                  <a16:creationId xmlns:a16="http://schemas.microsoft.com/office/drawing/2014/main" id="{6C4B7B23-C7B8-16ED-247A-643B494CD306}"/>
                </a:ext>
              </a:extLst>
            </xdr:cNvPr>
            <xdr:cNvGrpSpPr/>
          </xdr:nvGrpSpPr>
          <xdr:grpSpPr>
            <a:xfrm>
              <a:off x="9996663890" y="2462391"/>
              <a:ext cx="2116667" cy="1726983"/>
              <a:chOff x="9978678925" y="2378074"/>
              <a:chExt cx="4572000" cy="2743200"/>
            </a:xfrm>
          </xdr:grpSpPr>
          <xdr:graphicFrame macro="">
            <xdr:nvGraphicFramePr>
              <xdr:cNvPr id="7320" name="Chart 7319">
                <a:extLst>
                  <a:ext uri="{FF2B5EF4-FFF2-40B4-BE49-F238E27FC236}">
                    <a16:creationId xmlns:a16="http://schemas.microsoft.com/office/drawing/2014/main" id="{AE6E50F4-E0D9-A1FA-1314-4B1CB3946433}"/>
                  </a:ext>
                </a:extLst>
              </xdr:cNvPr>
              <xdr:cNvGraphicFramePr/>
            </xdr:nvGraphicFramePr>
            <xdr:xfrm>
              <a:off x="9978678925" y="2378074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graphicFrame macro="">
            <xdr:nvGraphicFramePr>
              <xdr:cNvPr id="7321" name="Chart 7320">
                <a:extLst>
                  <a:ext uri="{FF2B5EF4-FFF2-40B4-BE49-F238E27FC236}">
                    <a16:creationId xmlns:a16="http://schemas.microsoft.com/office/drawing/2014/main" id="{7A950E89-E428-095B-A278-B06F01944BDC}"/>
                  </a:ext>
                </a:extLst>
              </xdr:cNvPr>
              <xdr:cNvGraphicFramePr/>
            </xdr:nvGraphicFramePr>
            <xdr:xfrm>
              <a:off x="9979420288" y="2868612"/>
              <a:ext cx="3089275" cy="176212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</xdr:grpSp>
        <xdr:sp macro="" textlink="">
          <xdr:nvSpPr>
            <xdr:cNvPr id="7317" name="Rectangle: Rounded Corners 7316">
              <a:extLst>
                <a:ext uri="{FF2B5EF4-FFF2-40B4-BE49-F238E27FC236}">
                  <a16:creationId xmlns:a16="http://schemas.microsoft.com/office/drawing/2014/main" id="{6C876963-C975-B7AD-F25E-509AA569E3B4}"/>
                </a:ext>
              </a:extLst>
            </xdr:cNvPr>
            <xdr:cNvSpPr/>
          </xdr:nvSpPr>
          <xdr:spPr>
            <a:xfrm>
              <a:off x="9997131055" y="2505461"/>
              <a:ext cx="1168097" cy="209495"/>
            </a:xfrm>
            <a:prstGeom prst="roundRect">
              <a:avLst/>
            </a:prstGeom>
            <a:solidFill>
              <a:srgbClr val="480D9F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 rtl="1"/>
              <a:r>
                <a:rPr lang="fa-IR" sz="800" b="1"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Webdings" panose="05030102010509060703" pitchFamily="18" charset="2"/>
                  <a:cs typeface="B Nazanin" panose="00000400000000000000" pitchFamily="2" charset="-78"/>
                </a:rPr>
                <a:t>شاخص فضای رقابتی بودن </a:t>
              </a:r>
              <a:endParaRPr lang="en-US" sz="800" b="1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Webdings" panose="05030102010509060703" pitchFamily="18" charset="2"/>
                <a:cs typeface="B Nazanin" panose="00000400000000000000" pitchFamily="2" charset="-78"/>
              </a:endParaRPr>
            </a:p>
          </xdr:txBody>
        </xdr:sp>
        <xdr:sp macro="" textlink="calcu!I2">
          <xdr:nvSpPr>
            <xdr:cNvPr id="7318" name="TextBox 7317">
              <a:extLst>
                <a:ext uri="{FF2B5EF4-FFF2-40B4-BE49-F238E27FC236}">
                  <a16:creationId xmlns:a16="http://schemas.microsoft.com/office/drawing/2014/main" id="{5527BE1A-929B-5595-2843-10CC9A477256}"/>
                </a:ext>
              </a:extLst>
            </xdr:cNvPr>
            <xdr:cNvSpPr txBox="1"/>
          </xdr:nvSpPr>
          <xdr:spPr>
            <a:xfrm>
              <a:off x="9997504587" y="3624038"/>
              <a:ext cx="462411" cy="300675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3d extrusionH="57150">
                <a:bevelT w="38100" h="38100" prst="convex"/>
              </a:sp3d>
            </a:bodyPr>
            <a:lstStyle/>
            <a:p>
              <a:pPr algn="ctr" rtl="1"/>
              <a:fld id="{8BC55772-8AF7-4AB3-AE11-8D854BCB394E}" type="TxLink">
                <a:rPr lang="en-US" sz="1100" b="1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 rtl="1"/>
                <a:t>28%</a:t>
              </a:fld>
              <a:endParaRPr lang="en-US" sz="1200" b="1">
                <a:solidFill>
                  <a:schemeClr val="bg1"/>
                </a:solidFill>
                <a:cs typeface="B Titr" panose="00000700000000000000" pitchFamily="2" charset="-78"/>
              </a:endParaRPr>
            </a:p>
          </xdr:txBody>
        </xdr:sp>
        <xdr:sp macro="" textlink="">
          <xdr:nvSpPr>
            <xdr:cNvPr id="7319" name="Oval 7318">
              <a:extLst>
                <a:ext uri="{FF2B5EF4-FFF2-40B4-BE49-F238E27FC236}">
                  <a16:creationId xmlns:a16="http://schemas.microsoft.com/office/drawing/2014/main" id="{80395EA8-8F1C-625E-1527-701987A467CA}"/>
                </a:ext>
              </a:extLst>
            </xdr:cNvPr>
            <xdr:cNvSpPr/>
          </xdr:nvSpPr>
          <xdr:spPr>
            <a:xfrm>
              <a:off x="9997659808" y="3277575"/>
              <a:ext cx="107462" cy="102577"/>
            </a:xfrm>
            <a:prstGeom prst="ellipse">
              <a:avLst/>
            </a:prstGeom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27000">
                  <a:schemeClr val="bg2">
                    <a:lumMod val="25000"/>
                  </a:schemeClr>
                </a:gs>
                <a:gs pos="14000">
                  <a:schemeClr val="accent3">
                    <a:lumMod val="60000"/>
                    <a:lumOff val="4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</xdr:grpSp>
    </xdr:grpSp>
    <xdr:clientData/>
  </xdr:twoCellAnchor>
  <xdr:twoCellAnchor>
    <xdr:from>
      <xdr:col>0</xdr:col>
      <xdr:colOff>98234</xdr:colOff>
      <xdr:row>5</xdr:row>
      <xdr:rowOff>116887</xdr:rowOff>
    </xdr:from>
    <xdr:to>
      <xdr:col>2</xdr:col>
      <xdr:colOff>45177</xdr:colOff>
      <xdr:row>6</xdr:row>
      <xdr:rowOff>140767</xdr:rowOff>
    </xdr:to>
    <xdr:sp macro="" textlink="">
      <xdr:nvSpPr>
        <xdr:cNvPr id="7330" name="Rectangle: Rounded Corners 7329">
          <a:extLst>
            <a:ext uri="{FF2B5EF4-FFF2-40B4-BE49-F238E27FC236}">
              <a16:creationId xmlns:a16="http://schemas.microsoft.com/office/drawing/2014/main" id="{34140C79-4B88-4B37-86B7-E7E54666E9E4}"/>
            </a:ext>
          </a:extLst>
        </xdr:cNvPr>
        <xdr:cNvSpPr/>
      </xdr:nvSpPr>
      <xdr:spPr>
        <a:xfrm>
          <a:off x="10002689746" y="1044964"/>
          <a:ext cx="1168097" cy="20949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800" b="1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rPr>
            <a:t>میانگین شاخص  در فصل</a:t>
          </a:r>
          <a:endParaRPr lang="en-US" sz="800" b="1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Webdings" panose="05030102010509060703" pitchFamily="18" charset="2"/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98234</xdr:colOff>
      <xdr:row>13</xdr:row>
      <xdr:rowOff>116887</xdr:rowOff>
    </xdr:from>
    <xdr:to>
      <xdr:col>2</xdr:col>
      <xdr:colOff>45177</xdr:colOff>
      <xdr:row>14</xdr:row>
      <xdr:rowOff>140767</xdr:rowOff>
    </xdr:to>
    <xdr:sp macro="" textlink="">
      <xdr:nvSpPr>
        <xdr:cNvPr id="7331" name="Rectangle: Rounded Corners 7330">
          <a:extLst>
            <a:ext uri="{FF2B5EF4-FFF2-40B4-BE49-F238E27FC236}">
              <a16:creationId xmlns:a16="http://schemas.microsoft.com/office/drawing/2014/main" id="{D7900795-A9CF-6142-8CC0-818AAD816420}"/>
            </a:ext>
          </a:extLst>
        </xdr:cNvPr>
        <xdr:cNvSpPr/>
      </xdr:nvSpPr>
      <xdr:spPr>
        <a:xfrm>
          <a:off x="10002689746" y="2529887"/>
          <a:ext cx="1168097" cy="20949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800" b="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rPr>
            <a:t>درصد رشد </a:t>
          </a:r>
          <a:r>
            <a:rPr lang="fa-IR" sz="800" b="0" baseline="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rPr>
            <a:t>نسبت به فصل قبل</a:t>
          </a:r>
          <a:endParaRPr lang="en-US" sz="800" b="0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Webdings" panose="05030102010509060703" pitchFamily="18" charset="2"/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5</xdr:row>
      <xdr:rowOff>21624</xdr:rowOff>
    </xdr:from>
    <xdr:to>
      <xdr:col>2</xdr:col>
      <xdr:colOff>202463</xdr:colOff>
      <xdr:row>15</xdr:row>
      <xdr:rowOff>49232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81D22E62-3819-0855-D2AB-D42B354F96A7}"/>
            </a:ext>
          </a:extLst>
        </xdr:cNvPr>
        <xdr:cNvGrpSpPr/>
      </xdr:nvGrpSpPr>
      <xdr:grpSpPr>
        <a:xfrm>
          <a:off x="9955211462" y="943398"/>
          <a:ext cx="1417839" cy="1871157"/>
          <a:chOff x="9950348768" y="941914"/>
          <a:chExt cx="1417246" cy="1868188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B8E73BC6-59DC-341C-05D4-B3E12F40CB29}"/>
              </a:ext>
            </a:extLst>
          </xdr:cNvPr>
          <xdr:cNvGrpSpPr/>
        </xdr:nvGrpSpPr>
        <xdr:grpSpPr>
          <a:xfrm>
            <a:off x="9950348768" y="941914"/>
            <a:ext cx="1417246" cy="1868188"/>
            <a:chOff x="9939922016" y="757857"/>
            <a:chExt cx="1417246" cy="1868188"/>
          </a:xfrm>
        </xdr:grpSpPr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3BABBA5C-CA81-DE64-3CB2-E723FD1C4D35}"/>
                </a:ext>
              </a:extLst>
            </xdr:cNvPr>
            <xdr:cNvGraphicFramePr/>
          </xdr:nvGraphicFramePr>
          <xdr:xfrm>
            <a:off x="9939922016" y="757857"/>
            <a:ext cx="1417246" cy="18681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07CFD306-755E-DA96-B685-3CB820EE9416}"/>
                </a:ext>
              </a:extLst>
            </xdr:cNvPr>
            <xdr:cNvGraphicFramePr/>
          </xdr:nvGraphicFramePr>
          <xdr:xfrm>
            <a:off x="9940151827" y="1091926"/>
            <a:ext cx="957625" cy="120005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</xdr:grpSp>
      <xdr:sp macro="" textlink="calcu!J2">
        <xdr:nvSpPr>
          <xdr:cNvPr id="36" name="TextBox 35">
            <a:extLst>
              <a:ext uri="{FF2B5EF4-FFF2-40B4-BE49-F238E27FC236}">
                <a16:creationId xmlns:a16="http://schemas.microsoft.com/office/drawing/2014/main" id="{B5686D52-4188-B76D-4E61-2B36B39F1511}"/>
              </a:ext>
            </a:extLst>
          </xdr:cNvPr>
          <xdr:cNvSpPr txBox="1"/>
        </xdr:nvSpPr>
        <xdr:spPr>
          <a:xfrm>
            <a:off x="9950827230" y="2144275"/>
            <a:ext cx="460323" cy="298170"/>
          </a:xfrm>
          <a:prstGeom prst="rect">
            <a:avLst/>
          </a:prstGeom>
          <a:solidFill>
            <a:schemeClr val="bg2">
              <a:lumMod val="50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3d extrusionH="57150">
              <a:bevelT w="38100" h="38100" prst="convex"/>
            </a:sp3d>
          </a:bodyPr>
          <a:lstStyle/>
          <a:p>
            <a:pPr algn="r" rtl="1"/>
            <a:fld id="{56C655F4-72B2-4A74-928A-E59A621400D7}" type="TxLink"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r" rtl="1"/>
              <a:t>42%</a:t>
            </a:fld>
            <a:endParaRPr lang="en-US" sz="1200" b="1">
              <a:solidFill>
                <a:schemeClr val="bg1"/>
              </a:solidFill>
              <a:cs typeface="B Titr" panose="00000700000000000000" pitchFamily="2" charset="-78"/>
            </a:endParaRPr>
          </a:p>
        </xdr:txBody>
      </xdr:sp>
    </xdr:grpSp>
    <xdr:clientData/>
  </xdr:twoCellAnchor>
  <xdr:twoCellAnchor>
    <xdr:from>
      <xdr:col>0</xdr:col>
      <xdr:colOff>0</xdr:colOff>
      <xdr:row>12</xdr:row>
      <xdr:rowOff>174105</xdr:rowOff>
    </xdr:from>
    <xdr:to>
      <xdr:col>2</xdr:col>
      <xdr:colOff>202463</xdr:colOff>
      <xdr:row>23</xdr:row>
      <xdr:rowOff>15593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984F7F9-BC51-38A9-895F-E8AC91E8CD91}"/>
            </a:ext>
          </a:extLst>
        </xdr:cNvPr>
        <xdr:cNvGrpSpPr/>
      </xdr:nvGrpSpPr>
      <xdr:grpSpPr>
        <a:xfrm>
          <a:off x="9955211462" y="2386363"/>
          <a:ext cx="1417839" cy="1869391"/>
          <a:chOff x="9939739668" y="757857"/>
          <a:chExt cx="1417246" cy="1868188"/>
        </a:xfrm>
      </xdr:grpSpPr>
      <xdr:graphicFrame macro="">
        <xdr:nvGraphicFramePr>
          <xdr:cNvPr id="42" name="Chart 41">
            <a:extLst>
              <a:ext uri="{FF2B5EF4-FFF2-40B4-BE49-F238E27FC236}">
                <a16:creationId xmlns:a16="http://schemas.microsoft.com/office/drawing/2014/main" id="{EFF6F2CF-13D7-EB41-23AE-EC23A136EE90}"/>
              </a:ext>
            </a:extLst>
          </xdr:cNvPr>
          <xdr:cNvGraphicFramePr/>
        </xdr:nvGraphicFramePr>
        <xdr:xfrm>
          <a:off x="9939739668" y="757857"/>
          <a:ext cx="1417246" cy="18681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4CB30CF1-3C7A-18E2-5A80-6A43B13A9DE7}"/>
              </a:ext>
            </a:extLst>
          </xdr:cNvPr>
          <xdr:cNvGraphicFramePr/>
        </xdr:nvGraphicFramePr>
        <xdr:xfrm>
          <a:off x="9939971227" y="1091925"/>
          <a:ext cx="957625" cy="12000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</xdr:grpSp>
    <xdr:clientData/>
  </xdr:twoCellAnchor>
  <xdr:twoCellAnchor>
    <xdr:from>
      <xdr:col>0</xdr:col>
      <xdr:colOff>470775</xdr:colOff>
      <xdr:row>19</xdr:row>
      <xdr:rowOff>97844</xdr:rowOff>
    </xdr:from>
    <xdr:to>
      <xdr:col>1</xdr:col>
      <xdr:colOff>315047</xdr:colOff>
      <xdr:row>21</xdr:row>
      <xdr:rowOff>38318</xdr:rowOff>
    </xdr:to>
    <xdr:sp macro="" textlink="calcu!K2">
      <xdr:nvSpPr>
        <xdr:cNvPr id="41" name="TextBox 40">
          <a:extLst>
            <a:ext uri="{FF2B5EF4-FFF2-40B4-BE49-F238E27FC236}">
              <a16:creationId xmlns:a16="http://schemas.microsoft.com/office/drawing/2014/main" id="{00CD8866-8AA6-546F-E4A8-5803B9EFDAF2}"/>
            </a:ext>
          </a:extLst>
        </xdr:cNvPr>
        <xdr:cNvSpPr txBox="1"/>
      </xdr:nvSpPr>
      <xdr:spPr>
        <a:xfrm>
          <a:off x="9954744177" y="3634137"/>
          <a:ext cx="451901" cy="31271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3d extrusionH="57150">
            <a:bevelT w="38100" h="38100" prst="convex"/>
          </a:sp3d>
        </a:bodyPr>
        <a:lstStyle/>
        <a:p>
          <a:pPr algn="l" rtl="1"/>
          <a:fld id="{E7EE841D-31B5-4FF1-95FE-2A810F4A73C3}" type="TxLink">
            <a:rPr lang="en-US" sz="1000" b="0" i="0" u="none" strike="noStrike">
              <a:solidFill>
                <a:schemeClr val="bg1"/>
              </a:solidFill>
              <a:latin typeface="Calibri"/>
              <a:cs typeface="Calibri"/>
            </a:rPr>
            <a:pPr algn="l" rtl="1"/>
            <a:t>-41%</a:t>
          </a:fld>
          <a:endParaRPr lang="en-US" sz="1050" b="1">
            <a:solidFill>
              <a:schemeClr val="bg1"/>
            </a:solidFill>
            <a:cs typeface="B Titr" panose="00000700000000000000" pitchFamily="2" charset="-78"/>
          </a:endParaRPr>
        </a:p>
      </xdr:txBody>
    </xdr:sp>
    <xdr:clientData/>
  </xdr:twoCellAnchor>
  <xdr:twoCellAnchor>
    <xdr:from>
      <xdr:col>0</xdr:col>
      <xdr:colOff>8232</xdr:colOff>
      <xdr:row>22</xdr:row>
      <xdr:rowOff>42122</xdr:rowOff>
    </xdr:from>
    <xdr:to>
      <xdr:col>10</xdr:col>
      <xdr:colOff>811537</xdr:colOff>
      <xdr:row>52</xdr:row>
      <xdr:rowOff>145020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24B27820-F591-B9DC-1172-5553B988032A}"/>
            </a:ext>
          </a:extLst>
        </xdr:cNvPr>
        <xdr:cNvGrpSpPr/>
      </xdr:nvGrpSpPr>
      <xdr:grpSpPr>
        <a:xfrm>
          <a:off x="9949740882" y="4097928"/>
          <a:ext cx="6880187" cy="5633544"/>
          <a:chOff x="9999386399" y="618563"/>
          <a:chExt cx="6650131" cy="4931766"/>
        </a:xfrm>
      </xdr:grpSpPr>
      <xdr:sp macro="" textlink="">
        <xdr:nvSpPr>
          <xdr:cNvPr id="50" name="Rounded Rectangle 7">
            <a:extLst>
              <a:ext uri="{FF2B5EF4-FFF2-40B4-BE49-F238E27FC236}">
                <a16:creationId xmlns:a16="http://schemas.microsoft.com/office/drawing/2014/main" id="{61E1E750-4D72-9478-F76C-8C75989E3FA1}"/>
              </a:ext>
            </a:extLst>
          </xdr:cNvPr>
          <xdr:cNvSpPr/>
        </xdr:nvSpPr>
        <xdr:spPr>
          <a:xfrm>
            <a:off x="9999386399" y="771525"/>
            <a:ext cx="6650131" cy="4778804"/>
          </a:xfrm>
          <a:prstGeom prst="roundRect">
            <a:avLst>
              <a:gd name="adj" fmla="val 2014"/>
            </a:avLst>
          </a:prstGeom>
          <a:solidFill>
            <a:srgbClr val="E4E4E4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>
              <a:solidFill>
                <a:schemeClr val="bg1"/>
              </a:solidFill>
            </a:endParaRPr>
          </a:p>
        </xdr:txBody>
      </xdr: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E762A801-81B7-0717-3EA1-5E9C4AE206D8}"/>
              </a:ext>
            </a:extLst>
          </xdr:cNvPr>
          <xdr:cNvGrpSpPr/>
        </xdr:nvGrpSpPr>
        <xdr:grpSpPr>
          <a:xfrm>
            <a:off x="10001328720" y="618563"/>
            <a:ext cx="2765612" cy="298377"/>
            <a:chOff x="10001630440" y="685799"/>
            <a:chExt cx="2765612" cy="298377"/>
          </a:xfrm>
        </xdr:grpSpPr>
        <xdr:sp macro="" textlink="">
          <xdr:nvSpPr>
            <xdr:cNvPr id="52" name="Isosceles Triangle 51">
              <a:extLst>
                <a:ext uri="{FF2B5EF4-FFF2-40B4-BE49-F238E27FC236}">
                  <a16:creationId xmlns:a16="http://schemas.microsoft.com/office/drawing/2014/main" id="{DC071794-E46D-32D7-FAE1-4C0560DF697D}"/>
                </a:ext>
              </a:extLst>
            </xdr:cNvPr>
            <xdr:cNvSpPr/>
          </xdr:nvSpPr>
          <xdr:spPr>
            <a:xfrm>
              <a:off x="10004291277" y="697507"/>
              <a:ext cx="104775" cy="142875"/>
            </a:xfrm>
            <a:prstGeom prst="triangle">
              <a:avLst/>
            </a:prstGeom>
            <a:solidFill>
              <a:srgbClr val="23064E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53" name="Isosceles Triangle 52">
              <a:extLst>
                <a:ext uri="{FF2B5EF4-FFF2-40B4-BE49-F238E27FC236}">
                  <a16:creationId xmlns:a16="http://schemas.microsoft.com/office/drawing/2014/main" id="{6CA01ED1-DEF4-6799-5BB5-189C781DA085}"/>
                </a:ext>
              </a:extLst>
            </xdr:cNvPr>
            <xdr:cNvSpPr/>
          </xdr:nvSpPr>
          <xdr:spPr>
            <a:xfrm>
              <a:off x="10001630440" y="703110"/>
              <a:ext cx="104775" cy="142875"/>
            </a:xfrm>
            <a:prstGeom prst="triangle">
              <a:avLst/>
            </a:prstGeom>
            <a:solidFill>
              <a:srgbClr val="23064E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r" rtl="1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54" name="Trapezoid 53">
              <a:extLst>
                <a:ext uri="{FF2B5EF4-FFF2-40B4-BE49-F238E27FC236}">
                  <a16:creationId xmlns:a16="http://schemas.microsoft.com/office/drawing/2014/main" id="{9C46CB52-C596-2CE8-CD03-B4E05EB7F1DF}"/>
                </a:ext>
              </a:extLst>
            </xdr:cNvPr>
            <xdr:cNvSpPr/>
          </xdr:nvSpPr>
          <xdr:spPr>
            <a:xfrm flipV="1">
              <a:off x="10001694874" y="685799"/>
              <a:ext cx="2644028" cy="298377"/>
            </a:xfrm>
            <a:prstGeom prst="trapezoid">
              <a:avLst>
                <a:gd name="adj" fmla="val 0"/>
              </a:avLst>
            </a:prstGeom>
            <a:solidFill>
              <a:srgbClr val="480D9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</xdr:grpSp>
    </xdr:grpSp>
    <xdr:clientData/>
  </xdr:twoCellAnchor>
  <xdr:twoCellAnchor>
    <xdr:from>
      <xdr:col>3</xdr:col>
      <xdr:colOff>414145</xdr:colOff>
      <xdr:row>21</xdr:row>
      <xdr:rowOff>181658</xdr:rowOff>
    </xdr:from>
    <xdr:to>
      <xdr:col>7</xdr:col>
      <xdr:colOff>432809</xdr:colOff>
      <xdr:row>25</xdr:row>
      <xdr:rowOff>52027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B00CBA2-9748-A0F4-0007-8BDE55436AC4}"/>
            </a:ext>
          </a:extLst>
        </xdr:cNvPr>
        <xdr:cNvSpPr txBox="1"/>
      </xdr:nvSpPr>
      <xdr:spPr>
        <a:xfrm>
          <a:off x="9947083767" y="4095191"/>
          <a:ext cx="2448229" cy="615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fa-IR" sz="1600" b="1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amanBank" panose="00000500000000000000" pitchFamily="2" charset="-78"/>
              <a:cs typeface="B Nazanin" panose="00000400000000000000" pitchFamily="2" charset="-78"/>
            </a:rPr>
            <a:t>درصد تحقق شاخص ها</a:t>
          </a:r>
          <a:endParaRPr lang="en-US" sz="16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SamanBank" panose="00000500000000000000" pitchFamily="2" charset="-78"/>
            <a:cs typeface="B Nazanin" panose="00000400000000000000" pitchFamily="2" charset="-78"/>
          </a:endParaRPr>
        </a:p>
      </xdr:txBody>
    </xdr:sp>
    <xdr:clientData/>
  </xdr:twoCellAnchor>
  <xdr:twoCellAnchor>
    <xdr:from>
      <xdr:col>3</xdr:col>
      <xdr:colOff>525207</xdr:colOff>
      <xdr:row>52</xdr:row>
      <xdr:rowOff>158751</xdr:rowOff>
    </xdr:from>
    <xdr:to>
      <xdr:col>7</xdr:col>
      <xdr:colOff>294562</xdr:colOff>
      <xdr:row>54</xdr:row>
      <xdr:rowOff>162800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7E488F1-4BF2-4B2E-B438-02192EF6E497}"/>
            </a:ext>
          </a:extLst>
        </xdr:cNvPr>
        <xdr:cNvSpPr txBox="1"/>
      </xdr:nvSpPr>
      <xdr:spPr>
        <a:xfrm>
          <a:off x="9952080922" y="9745203"/>
          <a:ext cx="2200107" cy="372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fa-IR" sz="1400" b="1">
              <a:solidFill>
                <a:schemeClr val="accent5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amanBank" panose="00000500000000000000" pitchFamily="2" charset="-78"/>
              <a:cs typeface="SamanBank" panose="00000500000000000000" pitchFamily="2" charset="-78"/>
            </a:rPr>
            <a:t>تهیه</a:t>
          </a:r>
          <a:r>
            <a:rPr lang="fa-IR" sz="1400" b="1" baseline="0">
              <a:solidFill>
                <a:schemeClr val="accent5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amanBank" panose="00000500000000000000" pitchFamily="2" charset="-78"/>
              <a:cs typeface="SamanBank" panose="00000500000000000000" pitchFamily="2" charset="-78"/>
            </a:rPr>
            <a:t> شده در واحد منابع انسانی</a:t>
          </a:r>
          <a:endParaRPr lang="fa-IR" sz="1400" b="1">
            <a:solidFill>
              <a:schemeClr val="accent5">
                <a:lumMod val="75000"/>
              </a:schemeClr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SamanBank" panose="00000500000000000000" pitchFamily="2" charset="-78"/>
            <a:cs typeface="SamanBank" panose="00000500000000000000" pitchFamily="2" charset="-78"/>
          </a:endParaRPr>
        </a:p>
      </xdr:txBody>
    </xdr:sp>
    <xdr:clientData/>
  </xdr:twoCellAnchor>
  <xdr:twoCellAnchor>
    <xdr:from>
      <xdr:col>3</xdr:col>
      <xdr:colOff>507273</xdr:colOff>
      <xdr:row>54</xdr:row>
      <xdr:rowOff>36654</xdr:rowOff>
    </xdr:from>
    <xdr:to>
      <xdr:col>7</xdr:col>
      <xdr:colOff>276628</xdr:colOff>
      <xdr:row>56</xdr:row>
      <xdr:rowOff>48112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7A55404-2F36-4876-9016-DB38966F64CF}"/>
            </a:ext>
          </a:extLst>
        </xdr:cNvPr>
        <xdr:cNvSpPr txBox="1"/>
      </xdr:nvSpPr>
      <xdr:spPr>
        <a:xfrm>
          <a:off x="9952098856" y="9991815"/>
          <a:ext cx="2200107" cy="380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fa-IR" sz="1050" b="1">
              <a:solidFill>
                <a:schemeClr val="accent5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amanBank" panose="00000500000000000000" pitchFamily="2" charset="-78"/>
              <a:cs typeface="SamanBank" panose="00000500000000000000" pitchFamily="2" charset="-78"/>
            </a:rPr>
            <a:t>خرداد 1404</a:t>
          </a:r>
        </a:p>
      </xdr:txBody>
    </xdr:sp>
    <xdr:clientData/>
  </xdr:twoCellAnchor>
  <xdr:twoCellAnchor>
    <xdr:from>
      <xdr:col>1</xdr:col>
      <xdr:colOff>69022</xdr:colOff>
      <xdr:row>9</xdr:row>
      <xdr:rowOff>179459</xdr:rowOff>
    </xdr:from>
    <xdr:to>
      <xdr:col>1</xdr:col>
      <xdr:colOff>175999</xdr:colOff>
      <xdr:row>10</xdr:row>
      <xdr:rowOff>96085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8660CFE5-A4D2-45DB-9B94-D7DEC637522D}"/>
            </a:ext>
          </a:extLst>
        </xdr:cNvPr>
        <xdr:cNvSpPr/>
      </xdr:nvSpPr>
      <xdr:spPr>
        <a:xfrm>
          <a:off x="9950984925" y="1856687"/>
          <a:ext cx="106977" cy="102985"/>
        </a:xfrm>
        <a:prstGeom prst="ellipse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27000">
              <a:schemeClr val="bg2">
                <a:lumMod val="25000"/>
              </a:schemeClr>
            </a:gs>
            <a:gs pos="14000">
              <a:schemeClr val="accent3">
                <a:lumMod val="60000"/>
                <a:lumOff val="40000"/>
              </a:schemeClr>
            </a:gs>
          </a:gsLst>
          <a:lin ang="2160000" scaled="0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69022</xdr:colOff>
      <xdr:row>17</xdr:row>
      <xdr:rowOff>124247</xdr:rowOff>
    </xdr:from>
    <xdr:to>
      <xdr:col>1</xdr:col>
      <xdr:colOff>175999</xdr:colOff>
      <xdr:row>18</xdr:row>
      <xdr:rowOff>40873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FEC43FAB-BA03-43A3-B2AF-4357832D0ECF}"/>
            </a:ext>
          </a:extLst>
        </xdr:cNvPr>
        <xdr:cNvSpPr/>
      </xdr:nvSpPr>
      <xdr:spPr>
        <a:xfrm>
          <a:off x="9950984925" y="3292345"/>
          <a:ext cx="106977" cy="102985"/>
        </a:xfrm>
        <a:prstGeom prst="ellipse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27000">
              <a:schemeClr val="bg2">
                <a:lumMod val="25000"/>
              </a:schemeClr>
            </a:gs>
            <a:gs pos="14000">
              <a:schemeClr val="accent3">
                <a:lumMod val="60000"/>
                <a:lumOff val="40000"/>
              </a:schemeClr>
            </a:gs>
          </a:gsLst>
          <a:lin ang="2160000" scaled="0"/>
          <a:tileRect/>
        </a:gra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317926</xdr:colOff>
      <xdr:row>25</xdr:row>
      <xdr:rowOff>16663</xdr:rowOff>
    </xdr:from>
    <xdr:to>
      <xdr:col>10</xdr:col>
      <xdr:colOff>738583</xdr:colOff>
      <xdr:row>36</xdr:row>
      <xdr:rowOff>125905</xdr:rowOff>
    </xdr:to>
    <xdr:grpSp>
      <xdr:nvGrpSpPr>
        <xdr:cNvPr id="7345" name="Group 7344">
          <a:extLst>
            <a:ext uri="{FF2B5EF4-FFF2-40B4-BE49-F238E27FC236}">
              <a16:creationId xmlns:a16="http://schemas.microsoft.com/office/drawing/2014/main" id="{6CE2B660-EFA9-EDFE-8A9F-64C404AA7290}"/>
            </a:ext>
          </a:extLst>
        </xdr:cNvPr>
        <xdr:cNvGrpSpPr/>
      </xdr:nvGrpSpPr>
      <xdr:grpSpPr>
        <a:xfrm>
          <a:off x="9949813836" y="4625534"/>
          <a:ext cx="1636034" cy="2137145"/>
          <a:chOff x="9948851977" y="4669680"/>
          <a:chExt cx="1635916" cy="2156570"/>
        </a:xfrm>
      </xdr:grpSpPr>
      <xdr:grpSp>
        <xdr:nvGrpSpPr>
          <xdr:cNvPr id="7248" name="Group 7247">
            <a:extLst>
              <a:ext uri="{FF2B5EF4-FFF2-40B4-BE49-F238E27FC236}">
                <a16:creationId xmlns:a16="http://schemas.microsoft.com/office/drawing/2014/main" id="{C3238756-A4C6-2ED9-C39B-CC6037C627F6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836728EC-B744-8EF7-71D4-86E5905C7D42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1"/>
            </a:graphicData>
          </a:graphic>
        </xdr:graphicFrame>
        <xdr:grpSp>
          <xdr:nvGrpSpPr>
            <xdr:cNvPr id="7225" name="Group 7224">
              <a:extLst>
                <a:ext uri="{FF2B5EF4-FFF2-40B4-BE49-F238E27FC236}">
                  <a16:creationId xmlns:a16="http://schemas.microsoft.com/office/drawing/2014/main" id="{54EA36BC-EA04-5980-89CE-001AC5B1848B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22" name="Group 21">
                <a:extLst>
                  <a:ext uri="{FF2B5EF4-FFF2-40B4-BE49-F238E27FC236}">
                    <a16:creationId xmlns:a16="http://schemas.microsoft.com/office/drawing/2014/main" id="{8A669186-354C-808B-2083-D66129CEB63B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207" name="Rectangle: Rounded Corners 7206">
                  <a:extLst>
                    <a:ext uri="{FF2B5EF4-FFF2-40B4-BE49-F238E27FC236}">
                      <a16:creationId xmlns:a16="http://schemas.microsoft.com/office/drawing/2014/main" id="{3A16FF15-5A8D-27A1-0A53-5B43C35E7669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5" name="Right Triangle 14">
                  <a:extLst>
                    <a:ext uri="{FF2B5EF4-FFF2-40B4-BE49-F238E27FC236}">
                      <a16:creationId xmlns:a16="http://schemas.microsoft.com/office/drawing/2014/main" id="{71746EDF-F682-9897-C70A-51570C9393B4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20" name="Right Triangle 19">
                  <a:extLst>
                    <a:ext uri="{FF2B5EF4-FFF2-40B4-BE49-F238E27FC236}">
                      <a16:creationId xmlns:a16="http://schemas.microsoft.com/office/drawing/2014/main" id="{2728ADE9-C01B-47EC-AD3E-CAF68B8E8B73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4" name="Rectangle 3">
                  <a:extLst>
                    <a:ext uri="{FF2B5EF4-FFF2-40B4-BE49-F238E27FC236}">
                      <a16:creationId xmlns:a16="http://schemas.microsoft.com/office/drawing/2014/main" id="{5C827B3E-92F4-0516-86EB-9AC840D63954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47" name="TextBox 46">
                <a:extLst>
                  <a:ext uri="{FF2B5EF4-FFF2-40B4-BE49-F238E27FC236}">
                    <a16:creationId xmlns:a16="http://schemas.microsoft.com/office/drawing/2014/main" id="{8D039EB1-4BAA-6E08-460F-F045D13F4D2E}"/>
                  </a:ext>
                </a:extLst>
              </xdr:cNvPr>
              <xdr:cNvSpPr txBox="1"/>
            </xdr:nvSpPr>
            <xdr:spPr>
              <a:xfrm>
                <a:off x="9949015775" y="4703299"/>
                <a:ext cx="1308320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9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بهره وری کارکنان </a:t>
                </a:r>
                <a:endParaRPr lang="en-US" sz="9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226" name="Rectangle 7225">
            <a:extLst>
              <a:ext uri="{FF2B5EF4-FFF2-40B4-BE49-F238E27FC236}">
                <a16:creationId xmlns:a16="http://schemas.microsoft.com/office/drawing/2014/main" id="{CBDCA471-DBB4-2E6C-4C19-1D83C313A43E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234" name="Rectangle 7233">
            <a:extLst>
              <a:ext uri="{FF2B5EF4-FFF2-40B4-BE49-F238E27FC236}">
                <a16:creationId xmlns:a16="http://schemas.microsoft.com/office/drawing/2014/main" id="{86AACE36-4092-A44A-C338-672CE3B35458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235" name="Rectangle 7234">
            <a:extLst>
              <a:ext uri="{FF2B5EF4-FFF2-40B4-BE49-F238E27FC236}">
                <a16:creationId xmlns:a16="http://schemas.microsoft.com/office/drawing/2014/main" id="{C2AA91BF-4153-C18F-C396-B8ED05B6F940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245" name="Rectangle 7244">
            <a:extLst>
              <a:ext uri="{FF2B5EF4-FFF2-40B4-BE49-F238E27FC236}">
                <a16:creationId xmlns:a16="http://schemas.microsoft.com/office/drawing/2014/main" id="{C4FF5FBE-0052-2379-E4B6-3C40D31110BD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2">
        <xdr:nvSpPr>
          <xdr:cNvPr id="7246" name="Rectangle 7245">
            <a:extLst>
              <a:ext uri="{FF2B5EF4-FFF2-40B4-BE49-F238E27FC236}">
                <a16:creationId xmlns:a16="http://schemas.microsoft.com/office/drawing/2014/main" id="{5093E0B4-80C8-05DA-7F26-1BF2497696D7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C65D9C00-E8FE-4D92-AFBB-559B037691D1}" type="TxLink">
              <a:rPr lang="en-US" sz="12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-33%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2">
        <xdr:nvSpPr>
          <xdr:cNvPr id="7247" name="Rectangle 7246">
            <a:extLst>
              <a:ext uri="{FF2B5EF4-FFF2-40B4-BE49-F238E27FC236}">
                <a16:creationId xmlns:a16="http://schemas.microsoft.com/office/drawing/2014/main" id="{5477AF02-B35C-46E9-B9B7-FCBDD04D1B34}"/>
              </a:ext>
            </a:extLst>
          </xdr:cNvPr>
          <xdr:cNvSpPr/>
        </xdr:nvSpPr>
        <xdr:spPr>
          <a:xfrm>
            <a:off x="9949054096" y="6415880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2D3BC848-22AA-4352-B477-5B5E704F9DBA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46%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286" name="Group 7285">
            <a:extLst>
              <a:ext uri="{FF2B5EF4-FFF2-40B4-BE49-F238E27FC236}">
                <a16:creationId xmlns:a16="http://schemas.microsoft.com/office/drawing/2014/main" id="{DBCEC7D0-B80A-C51C-2087-C6784EA59781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285" name="Rectangle 7284">
              <a:extLst>
                <a:ext uri="{FF2B5EF4-FFF2-40B4-BE49-F238E27FC236}">
                  <a16:creationId xmlns:a16="http://schemas.microsoft.com/office/drawing/2014/main" id="{2086D00E-3183-B043-F09F-120AA64C2F7D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282" name="Rectangle 7281">
              <a:extLst>
                <a:ext uri="{FF2B5EF4-FFF2-40B4-BE49-F238E27FC236}">
                  <a16:creationId xmlns:a16="http://schemas.microsoft.com/office/drawing/2014/main" id="{D0861BD5-50C9-881B-48DF-D3442F8FAE2B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7</xdr:col>
      <xdr:colOff>164222</xdr:colOff>
      <xdr:row>32</xdr:row>
      <xdr:rowOff>180647</xdr:rowOff>
    </xdr:from>
    <xdr:to>
      <xdr:col>8</xdr:col>
      <xdr:colOff>131378</xdr:colOff>
      <xdr:row>34</xdr:row>
      <xdr:rowOff>38320</xdr:rowOff>
    </xdr:to>
    <xdr:sp macro="" textlink="">
      <xdr:nvSpPr>
        <xdr:cNvPr id="7310" name="Rectangle 7309">
          <a:extLst>
            <a:ext uri="{FF2B5EF4-FFF2-40B4-BE49-F238E27FC236}">
              <a16:creationId xmlns:a16="http://schemas.microsoft.com/office/drawing/2014/main" id="{2CDDAD15-509B-564E-0888-47327D0FF984}"/>
            </a:ext>
          </a:extLst>
        </xdr:cNvPr>
        <xdr:cNvSpPr/>
      </xdr:nvSpPr>
      <xdr:spPr>
        <a:xfrm>
          <a:off x="9950674441" y="6136509"/>
          <a:ext cx="574785" cy="2299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fa-IR" sz="1050">
              <a:solidFill>
                <a:schemeClr val="bg1"/>
              </a:solidFill>
              <a:cs typeface="B Nazanin" panose="00000400000000000000" pitchFamily="2" charset="-78"/>
            </a:rPr>
            <a:t>میانگین</a:t>
          </a:r>
          <a:endParaRPr lang="en-US" sz="105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476674</xdr:colOff>
      <xdr:row>25</xdr:row>
      <xdr:rowOff>27612</xdr:rowOff>
    </xdr:from>
    <xdr:to>
      <xdr:col>8</xdr:col>
      <xdr:colOff>289703</xdr:colOff>
      <xdr:row>36</xdr:row>
      <xdr:rowOff>136854</xdr:rowOff>
    </xdr:to>
    <xdr:grpSp>
      <xdr:nvGrpSpPr>
        <xdr:cNvPr id="7346" name="Group 7345">
          <a:extLst>
            <a:ext uri="{FF2B5EF4-FFF2-40B4-BE49-F238E27FC236}">
              <a16:creationId xmlns:a16="http://schemas.microsoft.com/office/drawing/2014/main" id="{6B4445CE-E318-750A-27A5-586FA8D47CCD}"/>
            </a:ext>
          </a:extLst>
        </xdr:cNvPr>
        <xdr:cNvGrpSpPr/>
      </xdr:nvGrpSpPr>
      <xdr:grpSpPr>
        <a:xfrm>
          <a:off x="9951478093" y="4636483"/>
          <a:ext cx="1636093" cy="2137145"/>
          <a:chOff x="9948851977" y="4669680"/>
          <a:chExt cx="1635916" cy="2156570"/>
        </a:xfrm>
      </xdr:grpSpPr>
      <xdr:grpSp>
        <xdr:nvGrpSpPr>
          <xdr:cNvPr id="7347" name="Group 7346">
            <a:extLst>
              <a:ext uri="{FF2B5EF4-FFF2-40B4-BE49-F238E27FC236}">
                <a16:creationId xmlns:a16="http://schemas.microsoft.com/office/drawing/2014/main" id="{BD8B1C01-62C0-F9AA-B909-3162E5B2EE3C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357" name="Chart 7356">
              <a:extLst>
                <a:ext uri="{FF2B5EF4-FFF2-40B4-BE49-F238E27FC236}">
                  <a16:creationId xmlns:a16="http://schemas.microsoft.com/office/drawing/2014/main" id="{88DAD938-85F1-701F-C130-C03B504AB2F5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2"/>
            </a:graphicData>
          </a:graphic>
        </xdr:graphicFrame>
        <xdr:grpSp>
          <xdr:nvGrpSpPr>
            <xdr:cNvPr id="7359" name="Group 7358">
              <a:extLst>
                <a:ext uri="{FF2B5EF4-FFF2-40B4-BE49-F238E27FC236}">
                  <a16:creationId xmlns:a16="http://schemas.microsoft.com/office/drawing/2014/main" id="{F8E720B0-4FB4-BA89-428E-D760DB017D46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92800972" y="4613722"/>
              <a:chExt cx="1723858" cy="2332473"/>
            </a:xfrm>
          </xdr:grpSpPr>
          <xdr:sp macro="" textlink="">
            <xdr:nvSpPr>
              <xdr:cNvPr id="7361" name="Rectangle: Rounded Corners 7360">
                <a:extLst>
                  <a:ext uri="{FF2B5EF4-FFF2-40B4-BE49-F238E27FC236}">
                    <a16:creationId xmlns:a16="http://schemas.microsoft.com/office/drawing/2014/main" id="{4856C36F-F08E-0977-0664-FFC6D7C2287C}"/>
                  </a:ext>
                </a:extLst>
              </xdr:cNvPr>
              <xdr:cNvSpPr/>
            </xdr:nvSpPr>
            <xdr:spPr>
              <a:xfrm>
                <a:off x="9992855852" y="4613722"/>
                <a:ext cx="1614002" cy="2332473"/>
              </a:xfrm>
              <a:prstGeom prst="roundRect">
                <a:avLst>
                  <a:gd name="adj" fmla="val 2426"/>
                </a:avLst>
              </a:prstGeom>
              <a:noFill/>
              <a:ln>
                <a:solidFill>
                  <a:srgbClr val="480D9F"/>
                </a:solidFill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1" anchor="t"/>
              <a:lstStyle/>
              <a:p>
                <a:pPr algn="r" rtl="1"/>
                <a:endParaRPr lang="fa-IR" sz="1100">
                  <a:solidFill>
                    <a:schemeClr val="accent5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7362" name="Right Triangle 7361">
                <a:extLst>
                  <a:ext uri="{FF2B5EF4-FFF2-40B4-BE49-F238E27FC236}">
                    <a16:creationId xmlns:a16="http://schemas.microsoft.com/office/drawing/2014/main" id="{E4A24DAB-1CC3-DBA2-EE3A-6BC051FD9D58}"/>
                  </a:ext>
                </a:extLst>
              </xdr:cNvPr>
              <xdr:cNvSpPr/>
            </xdr:nvSpPr>
            <xdr:spPr>
              <a:xfrm rot="891546" flipH="1">
                <a:off x="9992815888" y="4834818"/>
                <a:ext cx="50699" cy="116734"/>
              </a:xfrm>
              <a:prstGeom prst="rtTriangle">
                <a:avLst/>
              </a:prstGeom>
              <a:solidFill>
                <a:srgbClr val="23064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r" rtl="1"/>
                <a:endParaRPr lang="en-US" sz="1100"/>
              </a:p>
            </xdr:txBody>
          </xdr:sp>
          <xdr:sp macro="" textlink="">
            <xdr:nvSpPr>
              <xdr:cNvPr id="7363" name="Right Triangle 7362">
                <a:extLst>
                  <a:ext uri="{FF2B5EF4-FFF2-40B4-BE49-F238E27FC236}">
                    <a16:creationId xmlns:a16="http://schemas.microsoft.com/office/drawing/2014/main" id="{0D0A6905-2C4F-A3F5-4713-EBDBD5807160}"/>
                  </a:ext>
                </a:extLst>
              </xdr:cNvPr>
              <xdr:cNvSpPr/>
            </xdr:nvSpPr>
            <xdr:spPr>
              <a:xfrm rot="20315953">
                <a:off x="9994442898" y="4793189"/>
                <a:ext cx="50766" cy="167801"/>
              </a:xfrm>
              <a:prstGeom prst="rtTriangle">
                <a:avLst/>
              </a:prstGeom>
              <a:solidFill>
                <a:srgbClr val="23064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r" rtl="1"/>
                <a:endParaRPr lang="en-US" sz="1100"/>
              </a:p>
            </xdr:txBody>
          </xdr:sp>
          <xdr:sp macro="" textlink="">
            <xdr:nvSpPr>
              <xdr:cNvPr id="7364" name="Rectangle 7363">
                <a:extLst>
                  <a:ext uri="{FF2B5EF4-FFF2-40B4-BE49-F238E27FC236}">
                    <a16:creationId xmlns:a16="http://schemas.microsoft.com/office/drawing/2014/main" id="{3BF65AF4-1325-BF68-8615-1DDE03A3F93F}"/>
                  </a:ext>
                </a:extLst>
              </xdr:cNvPr>
              <xdr:cNvSpPr/>
            </xdr:nvSpPr>
            <xdr:spPr>
              <a:xfrm>
                <a:off x="9992800972" y="4658354"/>
                <a:ext cx="1723858" cy="284064"/>
              </a:xfrm>
              <a:prstGeom prst="rect">
                <a:avLst/>
              </a:prstGeom>
              <a:solidFill>
                <a:srgbClr val="480D9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r" rtl="1"/>
                <a:endParaRPr lang="en-US" sz="1100"/>
              </a:p>
            </xdr:txBody>
          </xdr:sp>
        </xdr:grpSp>
      </xdr:grpSp>
      <xdr:sp macro="" textlink="">
        <xdr:nvSpPr>
          <xdr:cNvPr id="7348" name="Rectangle 7347">
            <a:extLst>
              <a:ext uri="{FF2B5EF4-FFF2-40B4-BE49-F238E27FC236}">
                <a16:creationId xmlns:a16="http://schemas.microsoft.com/office/drawing/2014/main" id="{8327624D-B1BB-6A6F-80D1-384D91B2AA4B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49" name="Rectangle 7348">
            <a:extLst>
              <a:ext uri="{FF2B5EF4-FFF2-40B4-BE49-F238E27FC236}">
                <a16:creationId xmlns:a16="http://schemas.microsoft.com/office/drawing/2014/main" id="{54187FA7-DFE4-4CB8-1576-9F650D9C6936}"/>
              </a:ext>
            </a:extLst>
          </xdr:cNvPr>
          <xdr:cNvSpPr/>
        </xdr:nvSpPr>
        <xdr:spPr>
          <a:xfrm>
            <a:off x="9949096472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50" name="Rectangle 7349">
            <a:extLst>
              <a:ext uri="{FF2B5EF4-FFF2-40B4-BE49-F238E27FC236}">
                <a16:creationId xmlns:a16="http://schemas.microsoft.com/office/drawing/2014/main" id="{E305DF47-37A3-A46B-DFD4-84767A52BCBA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51" name="Rectangle 7350">
            <a:extLst>
              <a:ext uri="{FF2B5EF4-FFF2-40B4-BE49-F238E27FC236}">
                <a16:creationId xmlns:a16="http://schemas.microsoft.com/office/drawing/2014/main" id="{0AD613DA-161D-567B-D828-7C4979EAEC19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3">
        <xdr:nvSpPr>
          <xdr:cNvPr id="7352" name="Rectangle 7351">
            <a:extLst>
              <a:ext uri="{FF2B5EF4-FFF2-40B4-BE49-F238E27FC236}">
                <a16:creationId xmlns:a16="http://schemas.microsoft.com/office/drawing/2014/main" id="{85852816-4FBF-AE5A-4A76-382D9F5D6B1A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5776E198-0009-4626-B150-B9C9E9C31ADE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-61%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3">
        <xdr:nvSpPr>
          <xdr:cNvPr id="7353" name="Rectangle 7352">
            <a:extLst>
              <a:ext uri="{FF2B5EF4-FFF2-40B4-BE49-F238E27FC236}">
                <a16:creationId xmlns:a16="http://schemas.microsoft.com/office/drawing/2014/main" id="{C6E50E26-B89E-8CB0-C0DE-BD90ECC931A1}"/>
              </a:ext>
            </a:extLst>
          </xdr:cNvPr>
          <xdr:cNvSpPr/>
        </xdr:nvSpPr>
        <xdr:spPr>
          <a:xfrm>
            <a:off x="9949019960" y="6422770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D89DB262-75EC-4103-A415-F375D130E2EC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37%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354" name="Group 7353">
            <a:extLst>
              <a:ext uri="{FF2B5EF4-FFF2-40B4-BE49-F238E27FC236}">
                <a16:creationId xmlns:a16="http://schemas.microsoft.com/office/drawing/2014/main" id="{98743FEF-D6E5-929E-52E0-0CD0CF9C6924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355" name="Rectangle 7354">
              <a:extLst>
                <a:ext uri="{FF2B5EF4-FFF2-40B4-BE49-F238E27FC236}">
                  <a16:creationId xmlns:a16="http://schemas.microsoft.com/office/drawing/2014/main" id="{5787BD86-3F45-29AC-F5EB-8B24986275E7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356" name="Rectangle 7355">
              <a:extLst>
                <a:ext uri="{FF2B5EF4-FFF2-40B4-BE49-F238E27FC236}">
                  <a16:creationId xmlns:a16="http://schemas.microsoft.com/office/drawing/2014/main" id="{F0CF6C7E-A964-AE85-0F68-06EF65DFDB00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3</xdr:col>
      <xdr:colOff>22322</xdr:colOff>
      <xdr:row>25</xdr:row>
      <xdr:rowOff>27612</xdr:rowOff>
    </xdr:from>
    <xdr:to>
      <xdr:col>5</xdr:col>
      <xdr:colOff>442979</xdr:colOff>
      <xdr:row>36</xdr:row>
      <xdr:rowOff>136854</xdr:rowOff>
    </xdr:to>
    <xdr:grpSp>
      <xdr:nvGrpSpPr>
        <xdr:cNvPr id="7365" name="Group 7364">
          <a:extLst>
            <a:ext uri="{FF2B5EF4-FFF2-40B4-BE49-F238E27FC236}">
              <a16:creationId xmlns:a16="http://schemas.microsoft.com/office/drawing/2014/main" id="{D7E3FFFB-6114-3600-54F6-0698368A8099}"/>
            </a:ext>
          </a:extLst>
        </xdr:cNvPr>
        <xdr:cNvGrpSpPr/>
      </xdr:nvGrpSpPr>
      <xdr:grpSpPr>
        <a:xfrm>
          <a:off x="9953147881" y="4636483"/>
          <a:ext cx="1636033" cy="2137145"/>
          <a:chOff x="9948851977" y="4669680"/>
          <a:chExt cx="1635916" cy="2156570"/>
        </a:xfrm>
      </xdr:grpSpPr>
      <xdr:grpSp>
        <xdr:nvGrpSpPr>
          <xdr:cNvPr id="7366" name="Group 7365">
            <a:extLst>
              <a:ext uri="{FF2B5EF4-FFF2-40B4-BE49-F238E27FC236}">
                <a16:creationId xmlns:a16="http://schemas.microsoft.com/office/drawing/2014/main" id="{C73E862A-C583-1A09-EF54-4E30E05D20AD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376" name="Chart 7375">
              <a:extLst>
                <a:ext uri="{FF2B5EF4-FFF2-40B4-BE49-F238E27FC236}">
                  <a16:creationId xmlns:a16="http://schemas.microsoft.com/office/drawing/2014/main" id="{420EDD3D-2E50-91D6-BD1D-EDA02B6F5883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3"/>
            </a:graphicData>
          </a:graphic>
        </xdr:graphicFrame>
        <xdr:grpSp>
          <xdr:nvGrpSpPr>
            <xdr:cNvPr id="7377" name="Group 7376">
              <a:extLst>
                <a:ext uri="{FF2B5EF4-FFF2-40B4-BE49-F238E27FC236}">
                  <a16:creationId xmlns:a16="http://schemas.microsoft.com/office/drawing/2014/main" id="{468C8A3E-AD67-839F-78F9-44952785D124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7378" name="Group 7377">
                <a:extLst>
                  <a:ext uri="{FF2B5EF4-FFF2-40B4-BE49-F238E27FC236}">
                    <a16:creationId xmlns:a16="http://schemas.microsoft.com/office/drawing/2014/main" id="{62D7F05B-9226-7BB0-6D6A-62E2357BE94D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380" name="Rectangle: Rounded Corners 7379">
                  <a:extLst>
                    <a:ext uri="{FF2B5EF4-FFF2-40B4-BE49-F238E27FC236}">
                      <a16:creationId xmlns:a16="http://schemas.microsoft.com/office/drawing/2014/main" id="{277BEE50-EDCE-D9A0-C2E9-F41325C6CDE7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7381" name="Right Triangle 7380">
                  <a:extLst>
                    <a:ext uri="{FF2B5EF4-FFF2-40B4-BE49-F238E27FC236}">
                      <a16:creationId xmlns:a16="http://schemas.microsoft.com/office/drawing/2014/main" id="{25A6EEBE-E7B1-5F6C-A715-C9CE58FD94CE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382" name="Right Triangle 7381">
                  <a:extLst>
                    <a:ext uri="{FF2B5EF4-FFF2-40B4-BE49-F238E27FC236}">
                      <a16:creationId xmlns:a16="http://schemas.microsoft.com/office/drawing/2014/main" id="{8350E51F-B93D-A593-D772-1C598D8B8515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383" name="Rectangle 7382">
                  <a:extLst>
                    <a:ext uri="{FF2B5EF4-FFF2-40B4-BE49-F238E27FC236}">
                      <a16:creationId xmlns:a16="http://schemas.microsoft.com/office/drawing/2014/main" id="{A2E8E50A-40F9-1C6F-8AFA-EAF4F43929E3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7379" name="TextBox 7378">
                <a:extLst>
                  <a:ext uri="{FF2B5EF4-FFF2-40B4-BE49-F238E27FC236}">
                    <a16:creationId xmlns:a16="http://schemas.microsoft.com/office/drawing/2014/main" id="{8A6FE670-582C-A1FB-3D9D-94BC73AA755E}"/>
                  </a:ext>
                </a:extLst>
              </xdr:cNvPr>
              <xdr:cNvSpPr txBox="1"/>
            </xdr:nvSpPr>
            <xdr:spPr>
              <a:xfrm>
                <a:off x="9949015775" y="4703299"/>
                <a:ext cx="1308320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9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رضایت کارکنان</a:t>
                </a:r>
                <a:endParaRPr lang="en-US" sz="9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367" name="Rectangle 7366">
            <a:extLst>
              <a:ext uri="{FF2B5EF4-FFF2-40B4-BE49-F238E27FC236}">
                <a16:creationId xmlns:a16="http://schemas.microsoft.com/office/drawing/2014/main" id="{9BC4A13E-E5BF-967E-BD9B-B94F9F4B8D61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68" name="Rectangle 7367">
            <a:extLst>
              <a:ext uri="{FF2B5EF4-FFF2-40B4-BE49-F238E27FC236}">
                <a16:creationId xmlns:a16="http://schemas.microsoft.com/office/drawing/2014/main" id="{E4281B9C-D362-9B1D-B0EB-1FDCA4081283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69" name="Rectangle 7368">
            <a:extLst>
              <a:ext uri="{FF2B5EF4-FFF2-40B4-BE49-F238E27FC236}">
                <a16:creationId xmlns:a16="http://schemas.microsoft.com/office/drawing/2014/main" id="{22092641-3A1A-8787-DA92-2F8AD8A4E7B6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70" name="Rectangle 7369">
            <a:extLst>
              <a:ext uri="{FF2B5EF4-FFF2-40B4-BE49-F238E27FC236}">
                <a16:creationId xmlns:a16="http://schemas.microsoft.com/office/drawing/2014/main" id="{492902E6-1843-0858-10A5-FC98D959F585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4">
        <xdr:nvSpPr>
          <xdr:cNvPr id="7371" name="Rectangle 7370">
            <a:extLst>
              <a:ext uri="{FF2B5EF4-FFF2-40B4-BE49-F238E27FC236}">
                <a16:creationId xmlns:a16="http://schemas.microsoft.com/office/drawing/2014/main" id="{3CC0DA70-6967-25D2-E2F1-731754ED180E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43C21118-39A5-4582-8182-BD87623BEC5A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-17%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4">
        <xdr:nvSpPr>
          <xdr:cNvPr id="7372" name="Rectangle 7371">
            <a:extLst>
              <a:ext uri="{FF2B5EF4-FFF2-40B4-BE49-F238E27FC236}">
                <a16:creationId xmlns:a16="http://schemas.microsoft.com/office/drawing/2014/main" id="{A5B34F44-E509-7B39-23DC-475001D68F1F}"/>
              </a:ext>
            </a:extLst>
          </xdr:cNvPr>
          <xdr:cNvSpPr/>
        </xdr:nvSpPr>
        <xdr:spPr>
          <a:xfrm>
            <a:off x="9949054096" y="638831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6E9F555B-17A6-4B54-975B-EE4A15DE71B9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42%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373" name="Group 7372">
            <a:extLst>
              <a:ext uri="{FF2B5EF4-FFF2-40B4-BE49-F238E27FC236}">
                <a16:creationId xmlns:a16="http://schemas.microsoft.com/office/drawing/2014/main" id="{613DB640-0528-FC87-356F-C74C579EF1EF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374" name="Rectangle 7373">
              <a:extLst>
                <a:ext uri="{FF2B5EF4-FFF2-40B4-BE49-F238E27FC236}">
                  <a16:creationId xmlns:a16="http://schemas.microsoft.com/office/drawing/2014/main" id="{14E03BEE-C00F-5DAD-AFED-13C60A90911E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375" name="Rectangle 7374">
              <a:extLst>
                <a:ext uri="{FF2B5EF4-FFF2-40B4-BE49-F238E27FC236}">
                  <a16:creationId xmlns:a16="http://schemas.microsoft.com/office/drawing/2014/main" id="{F378D9DB-61F4-0924-5EB1-64E3FAB41844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0</xdr:col>
      <xdr:colOff>142753</xdr:colOff>
      <xdr:row>25</xdr:row>
      <xdr:rowOff>27612</xdr:rowOff>
    </xdr:from>
    <xdr:to>
      <xdr:col>2</xdr:col>
      <xdr:colOff>563410</xdr:colOff>
      <xdr:row>36</xdr:row>
      <xdr:rowOff>136854</xdr:rowOff>
    </xdr:to>
    <xdr:grpSp>
      <xdr:nvGrpSpPr>
        <xdr:cNvPr id="7384" name="Group 7383">
          <a:extLst>
            <a:ext uri="{FF2B5EF4-FFF2-40B4-BE49-F238E27FC236}">
              <a16:creationId xmlns:a16="http://schemas.microsoft.com/office/drawing/2014/main" id="{9D23C62C-CB24-AA6B-E66E-52FE5A0A7994}"/>
            </a:ext>
          </a:extLst>
        </xdr:cNvPr>
        <xdr:cNvGrpSpPr/>
      </xdr:nvGrpSpPr>
      <xdr:grpSpPr>
        <a:xfrm>
          <a:off x="9954850515" y="4636483"/>
          <a:ext cx="1636033" cy="2137145"/>
          <a:chOff x="9948851977" y="4669680"/>
          <a:chExt cx="1635916" cy="2156570"/>
        </a:xfrm>
      </xdr:grpSpPr>
      <xdr:grpSp>
        <xdr:nvGrpSpPr>
          <xdr:cNvPr id="7385" name="Group 7384">
            <a:extLst>
              <a:ext uri="{FF2B5EF4-FFF2-40B4-BE49-F238E27FC236}">
                <a16:creationId xmlns:a16="http://schemas.microsoft.com/office/drawing/2014/main" id="{28D83079-7D97-4E26-6050-07C1936C0FCD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395" name="Chart 7394">
              <a:extLst>
                <a:ext uri="{FF2B5EF4-FFF2-40B4-BE49-F238E27FC236}">
                  <a16:creationId xmlns:a16="http://schemas.microsoft.com/office/drawing/2014/main" id="{A0B190C9-E6FF-7DC6-1653-06C16F7185A7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4"/>
            </a:graphicData>
          </a:graphic>
        </xdr:graphicFrame>
        <xdr:grpSp>
          <xdr:nvGrpSpPr>
            <xdr:cNvPr id="7396" name="Group 7395">
              <a:extLst>
                <a:ext uri="{FF2B5EF4-FFF2-40B4-BE49-F238E27FC236}">
                  <a16:creationId xmlns:a16="http://schemas.microsoft.com/office/drawing/2014/main" id="{DE62D838-8311-2197-C947-B604B9AA37FA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7397" name="Group 7396">
                <a:extLst>
                  <a:ext uri="{FF2B5EF4-FFF2-40B4-BE49-F238E27FC236}">
                    <a16:creationId xmlns:a16="http://schemas.microsoft.com/office/drawing/2014/main" id="{F98105BD-A597-4D94-84ED-3BE2ECC815D8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399" name="Rectangle: Rounded Corners 7398">
                  <a:extLst>
                    <a:ext uri="{FF2B5EF4-FFF2-40B4-BE49-F238E27FC236}">
                      <a16:creationId xmlns:a16="http://schemas.microsoft.com/office/drawing/2014/main" id="{82AF37D3-4A89-5A10-CD17-E403763DDAB3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7400" name="Right Triangle 7399">
                  <a:extLst>
                    <a:ext uri="{FF2B5EF4-FFF2-40B4-BE49-F238E27FC236}">
                      <a16:creationId xmlns:a16="http://schemas.microsoft.com/office/drawing/2014/main" id="{DED18470-0296-80EF-4239-89B476EAB883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01" name="Right Triangle 7400">
                  <a:extLst>
                    <a:ext uri="{FF2B5EF4-FFF2-40B4-BE49-F238E27FC236}">
                      <a16:creationId xmlns:a16="http://schemas.microsoft.com/office/drawing/2014/main" id="{C6732C9A-0DB1-20B1-1029-DA40E0942CF4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02" name="Rectangle 7401">
                  <a:extLst>
                    <a:ext uri="{FF2B5EF4-FFF2-40B4-BE49-F238E27FC236}">
                      <a16:creationId xmlns:a16="http://schemas.microsoft.com/office/drawing/2014/main" id="{29D676B9-05B8-3487-491F-F806DB3DDE5F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7398" name="TextBox 7397">
                <a:extLst>
                  <a:ext uri="{FF2B5EF4-FFF2-40B4-BE49-F238E27FC236}">
                    <a16:creationId xmlns:a16="http://schemas.microsoft.com/office/drawing/2014/main" id="{FE243C2F-43C9-317A-D180-2545EE8FBC2D}"/>
                  </a:ext>
                </a:extLst>
              </xdr:cNvPr>
              <xdr:cNvSpPr txBox="1"/>
            </xdr:nvSpPr>
            <xdr:spPr>
              <a:xfrm>
                <a:off x="9948964734" y="4703299"/>
                <a:ext cx="1434464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8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عدم تمایل به ترک</a:t>
                </a:r>
                <a:r>
                  <a:rPr lang="fa-IR" sz="800" b="1" baseline="0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 خدمت</a:t>
                </a:r>
                <a:endParaRPr lang="en-US" sz="8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386" name="Rectangle 7385">
            <a:extLst>
              <a:ext uri="{FF2B5EF4-FFF2-40B4-BE49-F238E27FC236}">
                <a16:creationId xmlns:a16="http://schemas.microsoft.com/office/drawing/2014/main" id="{5D387E3D-7200-1043-0D39-660836B1414D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87" name="Rectangle 7386">
            <a:extLst>
              <a:ext uri="{FF2B5EF4-FFF2-40B4-BE49-F238E27FC236}">
                <a16:creationId xmlns:a16="http://schemas.microsoft.com/office/drawing/2014/main" id="{D400F377-C20D-3835-A2DE-729B73B113A9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88" name="Rectangle 7387">
            <a:extLst>
              <a:ext uri="{FF2B5EF4-FFF2-40B4-BE49-F238E27FC236}">
                <a16:creationId xmlns:a16="http://schemas.microsoft.com/office/drawing/2014/main" id="{8DE46B0A-B617-6D72-FE0B-1EAEC8FE66A9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389" name="Rectangle 7388">
            <a:extLst>
              <a:ext uri="{FF2B5EF4-FFF2-40B4-BE49-F238E27FC236}">
                <a16:creationId xmlns:a16="http://schemas.microsoft.com/office/drawing/2014/main" id="{B01F1571-3BF5-ED38-7B75-8ACF53EEE90D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5">
        <xdr:nvSpPr>
          <xdr:cNvPr id="7390" name="Rectangle 7389">
            <a:extLst>
              <a:ext uri="{FF2B5EF4-FFF2-40B4-BE49-F238E27FC236}">
                <a16:creationId xmlns:a16="http://schemas.microsoft.com/office/drawing/2014/main" id="{A7215D3A-A02A-4A9C-FDF7-E77F8DB898A8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F50B50F4-5D4A-48B9-B15B-B96B51CE2307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20%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5">
        <xdr:nvSpPr>
          <xdr:cNvPr id="7391" name="Rectangle 7390">
            <a:extLst>
              <a:ext uri="{FF2B5EF4-FFF2-40B4-BE49-F238E27FC236}">
                <a16:creationId xmlns:a16="http://schemas.microsoft.com/office/drawing/2014/main" id="{2426EF46-DABB-BC49-F55B-7636A94021A2}"/>
              </a:ext>
            </a:extLst>
          </xdr:cNvPr>
          <xdr:cNvSpPr/>
        </xdr:nvSpPr>
        <xdr:spPr>
          <a:xfrm>
            <a:off x="9949054096" y="638831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E9DBEB7C-D693-4B36-B679-42AAE8E70B2F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entury" panose="02040604050505020304" pitchFamily="18" charset="0"/>
                <a:cs typeface="Calibri"/>
              </a:rPr>
              <a:pPr algn="r" rtl="1"/>
              <a:t>34%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392" name="Group 7391">
            <a:extLst>
              <a:ext uri="{FF2B5EF4-FFF2-40B4-BE49-F238E27FC236}">
                <a16:creationId xmlns:a16="http://schemas.microsoft.com/office/drawing/2014/main" id="{BACA8678-179F-EC6E-1CED-F2BF99E0CA7E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393" name="Rectangle 7392">
              <a:extLst>
                <a:ext uri="{FF2B5EF4-FFF2-40B4-BE49-F238E27FC236}">
                  <a16:creationId xmlns:a16="http://schemas.microsoft.com/office/drawing/2014/main" id="{CF612C65-CA1E-0745-6F60-5C56266DCB01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394" name="Rectangle 7393">
              <a:extLst>
                <a:ext uri="{FF2B5EF4-FFF2-40B4-BE49-F238E27FC236}">
                  <a16:creationId xmlns:a16="http://schemas.microsoft.com/office/drawing/2014/main" id="{8C59B15C-C5F6-EEAD-FB50-DE4D77E18E7A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8</xdr:col>
      <xdr:colOff>279179</xdr:colOff>
      <xdr:row>37</xdr:row>
      <xdr:rowOff>126144</xdr:rowOff>
    </xdr:from>
    <xdr:to>
      <xdr:col>10</xdr:col>
      <xdr:colOff>699836</xdr:colOff>
      <xdr:row>49</xdr:row>
      <xdr:rowOff>49266</xdr:rowOff>
    </xdr:to>
    <xdr:grpSp>
      <xdr:nvGrpSpPr>
        <xdr:cNvPr id="7403" name="Group 7402">
          <a:extLst>
            <a:ext uri="{FF2B5EF4-FFF2-40B4-BE49-F238E27FC236}">
              <a16:creationId xmlns:a16="http://schemas.microsoft.com/office/drawing/2014/main" id="{0A2F38F2-583B-D184-6B91-70888BE2FB37}"/>
            </a:ext>
          </a:extLst>
        </xdr:cNvPr>
        <xdr:cNvGrpSpPr/>
      </xdr:nvGrpSpPr>
      <xdr:grpSpPr>
        <a:xfrm>
          <a:off x="9949852583" y="6947273"/>
          <a:ext cx="1636034" cy="2135380"/>
          <a:chOff x="9948851977" y="4669680"/>
          <a:chExt cx="1635916" cy="2156570"/>
        </a:xfrm>
      </xdr:grpSpPr>
      <xdr:grpSp>
        <xdr:nvGrpSpPr>
          <xdr:cNvPr id="7404" name="Group 7403">
            <a:extLst>
              <a:ext uri="{FF2B5EF4-FFF2-40B4-BE49-F238E27FC236}">
                <a16:creationId xmlns:a16="http://schemas.microsoft.com/office/drawing/2014/main" id="{5D78EC23-6724-95CE-551D-52D420E82610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414" name="Chart 7413">
              <a:extLst>
                <a:ext uri="{FF2B5EF4-FFF2-40B4-BE49-F238E27FC236}">
                  <a16:creationId xmlns:a16="http://schemas.microsoft.com/office/drawing/2014/main" id="{5A24B279-4522-574E-854F-A6A09B7F1D1D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5"/>
            </a:graphicData>
          </a:graphic>
        </xdr:graphicFrame>
        <xdr:grpSp>
          <xdr:nvGrpSpPr>
            <xdr:cNvPr id="7415" name="Group 7414">
              <a:extLst>
                <a:ext uri="{FF2B5EF4-FFF2-40B4-BE49-F238E27FC236}">
                  <a16:creationId xmlns:a16="http://schemas.microsoft.com/office/drawing/2014/main" id="{156C85D7-C6F3-40FE-A28D-B767B3463931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7416" name="Group 7415">
                <a:extLst>
                  <a:ext uri="{FF2B5EF4-FFF2-40B4-BE49-F238E27FC236}">
                    <a16:creationId xmlns:a16="http://schemas.microsoft.com/office/drawing/2014/main" id="{9D81BC91-61FE-EF33-9946-573BB6E253DE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418" name="Rectangle: Rounded Corners 7417">
                  <a:extLst>
                    <a:ext uri="{FF2B5EF4-FFF2-40B4-BE49-F238E27FC236}">
                      <a16:creationId xmlns:a16="http://schemas.microsoft.com/office/drawing/2014/main" id="{EC170D07-9537-F647-9E07-F8E9104E3789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7419" name="Right Triangle 7418">
                  <a:extLst>
                    <a:ext uri="{FF2B5EF4-FFF2-40B4-BE49-F238E27FC236}">
                      <a16:creationId xmlns:a16="http://schemas.microsoft.com/office/drawing/2014/main" id="{DD5EFCC7-3D04-BA83-6957-2B6B07E911C3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20" name="Right Triangle 7419">
                  <a:extLst>
                    <a:ext uri="{FF2B5EF4-FFF2-40B4-BE49-F238E27FC236}">
                      <a16:creationId xmlns:a16="http://schemas.microsoft.com/office/drawing/2014/main" id="{8A7C5B8F-6C4D-4080-591C-37211944E5A6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21" name="Rectangle 7420">
                  <a:extLst>
                    <a:ext uri="{FF2B5EF4-FFF2-40B4-BE49-F238E27FC236}">
                      <a16:creationId xmlns:a16="http://schemas.microsoft.com/office/drawing/2014/main" id="{CAD179D3-60BE-B195-7BF0-DA056894D2A6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7417" name="TextBox 7416">
                <a:extLst>
                  <a:ext uri="{FF2B5EF4-FFF2-40B4-BE49-F238E27FC236}">
                    <a16:creationId xmlns:a16="http://schemas.microsoft.com/office/drawing/2014/main" id="{08FA0ECA-9987-1CE0-EFD2-77E598825724}"/>
                  </a:ext>
                </a:extLst>
              </xdr:cNvPr>
              <xdr:cNvSpPr txBox="1"/>
            </xdr:nvSpPr>
            <xdr:spPr>
              <a:xfrm>
                <a:off x="9949015775" y="4703299"/>
                <a:ext cx="1308320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9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وفاداری کارکنان</a:t>
                </a:r>
                <a:endParaRPr lang="en-US" sz="9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405" name="Rectangle 7404">
            <a:extLst>
              <a:ext uri="{FF2B5EF4-FFF2-40B4-BE49-F238E27FC236}">
                <a16:creationId xmlns:a16="http://schemas.microsoft.com/office/drawing/2014/main" id="{A4D902DD-303A-8633-7C4C-BD7018C8DBF1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06" name="Rectangle 7405">
            <a:extLst>
              <a:ext uri="{FF2B5EF4-FFF2-40B4-BE49-F238E27FC236}">
                <a16:creationId xmlns:a16="http://schemas.microsoft.com/office/drawing/2014/main" id="{15F182E7-8824-6680-DEBC-EF96425BB32B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07" name="Rectangle 7406">
            <a:extLst>
              <a:ext uri="{FF2B5EF4-FFF2-40B4-BE49-F238E27FC236}">
                <a16:creationId xmlns:a16="http://schemas.microsoft.com/office/drawing/2014/main" id="{E8D9C82E-4487-E64F-693B-D5FA8011AC7F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08" name="Rectangle 7407">
            <a:extLst>
              <a:ext uri="{FF2B5EF4-FFF2-40B4-BE49-F238E27FC236}">
                <a16:creationId xmlns:a16="http://schemas.microsoft.com/office/drawing/2014/main" id="{0F2FD494-6AE8-82E9-1558-2A71A794F5A1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6">
        <xdr:nvSpPr>
          <xdr:cNvPr id="7409" name="Rectangle 7408">
            <a:extLst>
              <a:ext uri="{FF2B5EF4-FFF2-40B4-BE49-F238E27FC236}">
                <a16:creationId xmlns:a16="http://schemas.microsoft.com/office/drawing/2014/main" id="{0832E20D-001E-222F-0A73-24D311B57BC5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FEDD7E4A-1A2E-4B24-92CF-47C1D906AD01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-57%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6">
        <xdr:nvSpPr>
          <xdr:cNvPr id="7410" name="Rectangle 7409">
            <a:extLst>
              <a:ext uri="{FF2B5EF4-FFF2-40B4-BE49-F238E27FC236}">
                <a16:creationId xmlns:a16="http://schemas.microsoft.com/office/drawing/2014/main" id="{6966DE17-9645-2748-424A-156F66613861}"/>
              </a:ext>
            </a:extLst>
          </xdr:cNvPr>
          <xdr:cNvSpPr/>
        </xdr:nvSpPr>
        <xdr:spPr>
          <a:xfrm>
            <a:off x="9949054096" y="638831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55A3281D-B7C9-439D-9323-685D2169846B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31%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411" name="Group 7410">
            <a:extLst>
              <a:ext uri="{FF2B5EF4-FFF2-40B4-BE49-F238E27FC236}">
                <a16:creationId xmlns:a16="http://schemas.microsoft.com/office/drawing/2014/main" id="{2F44F123-D7DE-54B2-9A72-C3687D1DA88C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412" name="Rectangle 7411">
              <a:extLst>
                <a:ext uri="{FF2B5EF4-FFF2-40B4-BE49-F238E27FC236}">
                  <a16:creationId xmlns:a16="http://schemas.microsoft.com/office/drawing/2014/main" id="{6D43BDEF-9202-FC54-CD89-537A14B19480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413" name="Rectangle 7412">
              <a:extLst>
                <a:ext uri="{FF2B5EF4-FFF2-40B4-BE49-F238E27FC236}">
                  <a16:creationId xmlns:a16="http://schemas.microsoft.com/office/drawing/2014/main" id="{6C795CD7-D879-7A75-CACC-B37E8F846814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7</xdr:col>
      <xdr:colOff>125475</xdr:colOff>
      <xdr:row>45</xdr:row>
      <xdr:rowOff>104008</xdr:rowOff>
    </xdr:from>
    <xdr:to>
      <xdr:col>8</xdr:col>
      <xdr:colOff>92631</xdr:colOff>
      <xdr:row>46</xdr:row>
      <xdr:rowOff>147801</xdr:rowOff>
    </xdr:to>
    <xdr:sp macro="" textlink="">
      <xdr:nvSpPr>
        <xdr:cNvPr id="7422" name="Rectangle 7421">
          <a:extLst>
            <a:ext uri="{FF2B5EF4-FFF2-40B4-BE49-F238E27FC236}">
              <a16:creationId xmlns:a16="http://schemas.microsoft.com/office/drawing/2014/main" id="{48FE05C5-32B9-EBA1-139A-5295DFF6A64F}"/>
            </a:ext>
          </a:extLst>
        </xdr:cNvPr>
        <xdr:cNvSpPr/>
      </xdr:nvSpPr>
      <xdr:spPr>
        <a:xfrm>
          <a:off x="9950713188" y="8479439"/>
          <a:ext cx="574785" cy="2299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fa-IR" sz="1050">
              <a:solidFill>
                <a:schemeClr val="bg1"/>
              </a:solidFill>
              <a:cs typeface="B Nazanin" panose="00000400000000000000" pitchFamily="2" charset="-78"/>
            </a:rPr>
            <a:t>میانگین</a:t>
          </a:r>
          <a:endParaRPr lang="en-US" sz="105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437928</xdr:colOff>
      <xdr:row>37</xdr:row>
      <xdr:rowOff>137093</xdr:rowOff>
    </xdr:from>
    <xdr:to>
      <xdr:col>8</xdr:col>
      <xdr:colOff>250957</xdr:colOff>
      <xdr:row>49</xdr:row>
      <xdr:rowOff>60215</xdr:rowOff>
    </xdr:to>
    <xdr:grpSp>
      <xdr:nvGrpSpPr>
        <xdr:cNvPr id="7423" name="Group 7422">
          <a:extLst>
            <a:ext uri="{FF2B5EF4-FFF2-40B4-BE49-F238E27FC236}">
              <a16:creationId xmlns:a16="http://schemas.microsoft.com/office/drawing/2014/main" id="{3C5EAD19-9F91-3AD8-60C9-7DA02917B805}"/>
            </a:ext>
          </a:extLst>
        </xdr:cNvPr>
        <xdr:cNvGrpSpPr/>
      </xdr:nvGrpSpPr>
      <xdr:grpSpPr>
        <a:xfrm>
          <a:off x="9951516839" y="6958222"/>
          <a:ext cx="1636093" cy="2135380"/>
          <a:chOff x="9948851977" y="4669680"/>
          <a:chExt cx="1635916" cy="2156570"/>
        </a:xfrm>
      </xdr:grpSpPr>
      <xdr:grpSp>
        <xdr:nvGrpSpPr>
          <xdr:cNvPr id="7424" name="Group 7423">
            <a:extLst>
              <a:ext uri="{FF2B5EF4-FFF2-40B4-BE49-F238E27FC236}">
                <a16:creationId xmlns:a16="http://schemas.microsoft.com/office/drawing/2014/main" id="{8A6595C2-59D7-E74F-DA08-62F1B360C460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434" name="Chart 7433">
              <a:extLst>
                <a:ext uri="{FF2B5EF4-FFF2-40B4-BE49-F238E27FC236}">
                  <a16:creationId xmlns:a16="http://schemas.microsoft.com/office/drawing/2014/main" id="{98CE9441-C844-AE36-C894-110FE4B8B8AF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6"/>
            </a:graphicData>
          </a:graphic>
        </xdr:graphicFrame>
        <xdr:grpSp>
          <xdr:nvGrpSpPr>
            <xdr:cNvPr id="7435" name="Group 7434">
              <a:extLst>
                <a:ext uri="{FF2B5EF4-FFF2-40B4-BE49-F238E27FC236}">
                  <a16:creationId xmlns:a16="http://schemas.microsoft.com/office/drawing/2014/main" id="{15B6271B-149E-0667-9C49-4B0B23C7E728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7436" name="Group 7435">
                <a:extLst>
                  <a:ext uri="{FF2B5EF4-FFF2-40B4-BE49-F238E27FC236}">
                    <a16:creationId xmlns:a16="http://schemas.microsoft.com/office/drawing/2014/main" id="{DEE02A97-48C8-9A6C-58D4-42ECE2BF628A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438" name="Rectangle: Rounded Corners 7437">
                  <a:extLst>
                    <a:ext uri="{FF2B5EF4-FFF2-40B4-BE49-F238E27FC236}">
                      <a16:creationId xmlns:a16="http://schemas.microsoft.com/office/drawing/2014/main" id="{70B44FFB-0553-B4EB-8457-BC89248D5550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7439" name="Right Triangle 7438">
                  <a:extLst>
                    <a:ext uri="{FF2B5EF4-FFF2-40B4-BE49-F238E27FC236}">
                      <a16:creationId xmlns:a16="http://schemas.microsoft.com/office/drawing/2014/main" id="{DDB3ECEF-34AC-1BDF-80DE-D8160D2A7F3D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40" name="Right Triangle 7439">
                  <a:extLst>
                    <a:ext uri="{FF2B5EF4-FFF2-40B4-BE49-F238E27FC236}">
                      <a16:creationId xmlns:a16="http://schemas.microsoft.com/office/drawing/2014/main" id="{BFB94AB2-BA82-431E-D92D-5F9986DEDC23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41" name="Rectangle 7440">
                  <a:extLst>
                    <a:ext uri="{FF2B5EF4-FFF2-40B4-BE49-F238E27FC236}">
                      <a16:creationId xmlns:a16="http://schemas.microsoft.com/office/drawing/2014/main" id="{B029F1A1-7112-EB27-5331-96F61173BCBA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7437" name="TextBox 7436">
                <a:extLst>
                  <a:ext uri="{FF2B5EF4-FFF2-40B4-BE49-F238E27FC236}">
                    <a16:creationId xmlns:a16="http://schemas.microsoft.com/office/drawing/2014/main" id="{14ABBAD9-0158-0404-7440-82A4A71979FD}"/>
                  </a:ext>
                </a:extLst>
              </xdr:cNvPr>
              <xdr:cNvSpPr txBox="1"/>
            </xdr:nvSpPr>
            <xdr:spPr>
              <a:xfrm>
                <a:off x="9949015775" y="4703299"/>
                <a:ext cx="1308320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9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سطح زندگی</a:t>
                </a:r>
                <a:endParaRPr lang="en-US" sz="9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425" name="Rectangle 7424">
            <a:extLst>
              <a:ext uri="{FF2B5EF4-FFF2-40B4-BE49-F238E27FC236}">
                <a16:creationId xmlns:a16="http://schemas.microsoft.com/office/drawing/2014/main" id="{011D929D-71E2-6D78-721B-82E17CC9538C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26" name="Rectangle 7425">
            <a:extLst>
              <a:ext uri="{FF2B5EF4-FFF2-40B4-BE49-F238E27FC236}">
                <a16:creationId xmlns:a16="http://schemas.microsoft.com/office/drawing/2014/main" id="{3999A811-46E5-73A2-FEBC-6B9FFDAF5BE6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27" name="Rectangle 7426">
            <a:extLst>
              <a:ext uri="{FF2B5EF4-FFF2-40B4-BE49-F238E27FC236}">
                <a16:creationId xmlns:a16="http://schemas.microsoft.com/office/drawing/2014/main" id="{D0B82FDA-5179-50FF-6F8D-B7B430D94284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28" name="Rectangle 7427">
            <a:extLst>
              <a:ext uri="{FF2B5EF4-FFF2-40B4-BE49-F238E27FC236}">
                <a16:creationId xmlns:a16="http://schemas.microsoft.com/office/drawing/2014/main" id="{374B96BE-079F-E18A-5ED0-35251773C139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6">
        <xdr:nvSpPr>
          <xdr:cNvPr id="7429" name="Rectangle 7428">
            <a:extLst>
              <a:ext uri="{FF2B5EF4-FFF2-40B4-BE49-F238E27FC236}">
                <a16:creationId xmlns:a16="http://schemas.microsoft.com/office/drawing/2014/main" id="{E2068C85-D600-658A-0708-516BA05F80F9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20F28527-355E-4E13-ADAE-BFA95AF0BCC8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-57%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7">
        <xdr:nvSpPr>
          <xdr:cNvPr id="7430" name="Rectangle 7429">
            <a:extLst>
              <a:ext uri="{FF2B5EF4-FFF2-40B4-BE49-F238E27FC236}">
                <a16:creationId xmlns:a16="http://schemas.microsoft.com/office/drawing/2014/main" id="{5B3AAC8F-6075-A6A6-32A6-E5178E2B0CB4}"/>
              </a:ext>
            </a:extLst>
          </xdr:cNvPr>
          <xdr:cNvSpPr/>
        </xdr:nvSpPr>
        <xdr:spPr>
          <a:xfrm>
            <a:off x="9949054096" y="638831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A53A0B84-FB1F-4071-BA0E-106444CFF394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35%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431" name="Group 7430">
            <a:extLst>
              <a:ext uri="{FF2B5EF4-FFF2-40B4-BE49-F238E27FC236}">
                <a16:creationId xmlns:a16="http://schemas.microsoft.com/office/drawing/2014/main" id="{E2D188F6-AF07-2902-E65B-917BF8CC0AE1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432" name="Rectangle 7431">
              <a:extLst>
                <a:ext uri="{FF2B5EF4-FFF2-40B4-BE49-F238E27FC236}">
                  <a16:creationId xmlns:a16="http://schemas.microsoft.com/office/drawing/2014/main" id="{A84EF77F-64BF-6467-13FC-4CF3437EBBF8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433" name="Rectangle 7432">
              <a:extLst>
                <a:ext uri="{FF2B5EF4-FFF2-40B4-BE49-F238E27FC236}">
                  <a16:creationId xmlns:a16="http://schemas.microsoft.com/office/drawing/2014/main" id="{E1B26585-21F9-2392-B1B9-7324A725CBA8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2</xdr:col>
      <xdr:colOff>591204</xdr:colOff>
      <xdr:row>37</xdr:row>
      <xdr:rowOff>137093</xdr:rowOff>
    </xdr:from>
    <xdr:to>
      <xdr:col>5</xdr:col>
      <xdr:colOff>404232</xdr:colOff>
      <xdr:row>49</xdr:row>
      <xdr:rowOff>60215</xdr:rowOff>
    </xdr:to>
    <xdr:grpSp>
      <xdr:nvGrpSpPr>
        <xdr:cNvPr id="7442" name="Group 7441">
          <a:extLst>
            <a:ext uri="{FF2B5EF4-FFF2-40B4-BE49-F238E27FC236}">
              <a16:creationId xmlns:a16="http://schemas.microsoft.com/office/drawing/2014/main" id="{FFCB2322-46BB-EE4B-5E06-5F253F77E8B5}"/>
            </a:ext>
          </a:extLst>
        </xdr:cNvPr>
        <xdr:cNvGrpSpPr/>
      </xdr:nvGrpSpPr>
      <xdr:grpSpPr>
        <a:xfrm>
          <a:off x="9953186628" y="6958222"/>
          <a:ext cx="1636093" cy="2135380"/>
          <a:chOff x="9948851977" y="4669680"/>
          <a:chExt cx="1635916" cy="2156570"/>
        </a:xfrm>
      </xdr:grpSpPr>
      <xdr:grpSp>
        <xdr:nvGrpSpPr>
          <xdr:cNvPr id="7443" name="Group 7442">
            <a:extLst>
              <a:ext uri="{FF2B5EF4-FFF2-40B4-BE49-F238E27FC236}">
                <a16:creationId xmlns:a16="http://schemas.microsoft.com/office/drawing/2014/main" id="{EAF3653A-1E92-72D0-D9E5-8722D974D6E1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453" name="Chart 7452">
              <a:extLst>
                <a:ext uri="{FF2B5EF4-FFF2-40B4-BE49-F238E27FC236}">
                  <a16:creationId xmlns:a16="http://schemas.microsoft.com/office/drawing/2014/main" id="{2CC87BD7-145F-56D1-B977-AA5B0FB80989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7"/>
            </a:graphicData>
          </a:graphic>
        </xdr:graphicFrame>
        <xdr:grpSp>
          <xdr:nvGrpSpPr>
            <xdr:cNvPr id="7454" name="Group 7453">
              <a:extLst>
                <a:ext uri="{FF2B5EF4-FFF2-40B4-BE49-F238E27FC236}">
                  <a16:creationId xmlns:a16="http://schemas.microsoft.com/office/drawing/2014/main" id="{D0E4A6CA-C5B3-89C0-292F-A6F9F1AD4A06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7455" name="Group 7454">
                <a:extLst>
                  <a:ext uri="{FF2B5EF4-FFF2-40B4-BE49-F238E27FC236}">
                    <a16:creationId xmlns:a16="http://schemas.microsoft.com/office/drawing/2014/main" id="{5EE48709-02B1-971F-E795-1310E457A1B7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457" name="Rectangle: Rounded Corners 7456">
                  <a:extLst>
                    <a:ext uri="{FF2B5EF4-FFF2-40B4-BE49-F238E27FC236}">
                      <a16:creationId xmlns:a16="http://schemas.microsoft.com/office/drawing/2014/main" id="{EBBAA3FB-F63F-4EE6-1C14-754ED414C7B7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7458" name="Right Triangle 7457">
                  <a:extLst>
                    <a:ext uri="{FF2B5EF4-FFF2-40B4-BE49-F238E27FC236}">
                      <a16:creationId xmlns:a16="http://schemas.microsoft.com/office/drawing/2014/main" id="{D0FC9346-A780-ECCD-4242-A4EAD1CAE77A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59" name="Right Triangle 7458">
                  <a:extLst>
                    <a:ext uri="{FF2B5EF4-FFF2-40B4-BE49-F238E27FC236}">
                      <a16:creationId xmlns:a16="http://schemas.microsoft.com/office/drawing/2014/main" id="{3D43F8C1-E05F-B514-6EEB-A665F05C0E5A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60" name="Rectangle 7459">
                  <a:extLst>
                    <a:ext uri="{FF2B5EF4-FFF2-40B4-BE49-F238E27FC236}">
                      <a16:creationId xmlns:a16="http://schemas.microsoft.com/office/drawing/2014/main" id="{D9C073AA-F419-A395-7FFC-236B68CB6CCC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7456" name="TextBox 7455">
                <a:extLst>
                  <a:ext uri="{FF2B5EF4-FFF2-40B4-BE49-F238E27FC236}">
                    <a16:creationId xmlns:a16="http://schemas.microsoft.com/office/drawing/2014/main" id="{3C07415E-D161-8916-161B-383FAD827B62}"/>
                  </a:ext>
                </a:extLst>
              </xdr:cNvPr>
              <xdr:cNvSpPr txBox="1"/>
            </xdr:nvSpPr>
            <xdr:spPr>
              <a:xfrm>
                <a:off x="9949015775" y="4703299"/>
                <a:ext cx="1308320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9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خلاقیت افراد</a:t>
                </a:r>
                <a:endParaRPr lang="en-US" sz="9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444" name="Rectangle 7443">
            <a:extLst>
              <a:ext uri="{FF2B5EF4-FFF2-40B4-BE49-F238E27FC236}">
                <a16:creationId xmlns:a16="http://schemas.microsoft.com/office/drawing/2014/main" id="{732E0C3C-F292-6B5A-9A1D-0B5A45A77A14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45" name="Rectangle 7444">
            <a:extLst>
              <a:ext uri="{FF2B5EF4-FFF2-40B4-BE49-F238E27FC236}">
                <a16:creationId xmlns:a16="http://schemas.microsoft.com/office/drawing/2014/main" id="{554540D0-3010-C4EE-91F4-E0F31EA9190B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46" name="Rectangle 7445">
            <a:extLst>
              <a:ext uri="{FF2B5EF4-FFF2-40B4-BE49-F238E27FC236}">
                <a16:creationId xmlns:a16="http://schemas.microsoft.com/office/drawing/2014/main" id="{FFAE3D14-1ABB-EA8F-404A-0A795D03F0C5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7447" name="Rectangle 7446">
            <a:extLst>
              <a:ext uri="{FF2B5EF4-FFF2-40B4-BE49-F238E27FC236}">
                <a16:creationId xmlns:a16="http://schemas.microsoft.com/office/drawing/2014/main" id="{DD0122CB-BEF3-2889-3488-7DF49CB1D256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8">
        <xdr:nvSpPr>
          <xdr:cNvPr id="7448" name="Rectangle 7447">
            <a:extLst>
              <a:ext uri="{FF2B5EF4-FFF2-40B4-BE49-F238E27FC236}">
                <a16:creationId xmlns:a16="http://schemas.microsoft.com/office/drawing/2014/main" id="{AC632F8D-45A0-D800-E9DB-C3AC7B26BF9E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0205526F-F3D4-475C-ABF8-78CFA4D0213E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-55%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8">
        <xdr:nvSpPr>
          <xdr:cNvPr id="7449" name="Rectangle 7448">
            <a:extLst>
              <a:ext uri="{FF2B5EF4-FFF2-40B4-BE49-F238E27FC236}">
                <a16:creationId xmlns:a16="http://schemas.microsoft.com/office/drawing/2014/main" id="{02990D3D-A7B0-9146-E286-C4E6D3BDA57E}"/>
              </a:ext>
            </a:extLst>
          </xdr:cNvPr>
          <xdr:cNvSpPr/>
        </xdr:nvSpPr>
        <xdr:spPr>
          <a:xfrm>
            <a:off x="9949054096" y="638831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D38EA5B0-41C0-4480-BDE3-C31A7C5179FC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32%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450" name="Group 7449">
            <a:extLst>
              <a:ext uri="{FF2B5EF4-FFF2-40B4-BE49-F238E27FC236}">
                <a16:creationId xmlns:a16="http://schemas.microsoft.com/office/drawing/2014/main" id="{5CE612D5-670B-151E-1422-4F110A38ACA9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451" name="Rectangle 7450">
              <a:extLst>
                <a:ext uri="{FF2B5EF4-FFF2-40B4-BE49-F238E27FC236}">
                  <a16:creationId xmlns:a16="http://schemas.microsoft.com/office/drawing/2014/main" id="{2DE995A6-1573-465C-84F5-E3DE4EB581FF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452" name="Rectangle 7451">
              <a:extLst>
                <a:ext uri="{FF2B5EF4-FFF2-40B4-BE49-F238E27FC236}">
                  <a16:creationId xmlns:a16="http://schemas.microsoft.com/office/drawing/2014/main" id="{65585B3C-2EA9-CFA1-D77D-EEAAFBD68F60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0</xdr:col>
      <xdr:colOff>104006</xdr:colOff>
      <xdr:row>37</xdr:row>
      <xdr:rowOff>137093</xdr:rowOff>
    </xdr:from>
    <xdr:to>
      <xdr:col>2</xdr:col>
      <xdr:colOff>524663</xdr:colOff>
      <xdr:row>49</xdr:row>
      <xdr:rowOff>60215</xdr:rowOff>
    </xdr:to>
    <xdr:grpSp>
      <xdr:nvGrpSpPr>
        <xdr:cNvPr id="7461" name="Group 7460">
          <a:extLst>
            <a:ext uri="{FF2B5EF4-FFF2-40B4-BE49-F238E27FC236}">
              <a16:creationId xmlns:a16="http://schemas.microsoft.com/office/drawing/2014/main" id="{B433D612-70B8-5482-DFD7-07208B0D8523}"/>
            </a:ext>
          </a:extLst>
        </xdr:cNvPr>
        <xdr:cNvGrpSpPr/>
      </xdr:nvGrpSpPr>
      <xdr:grpSpPr>
        <a:xfrm>
          <a:off x="9954889262" y="6958222"/>
          <a:ext cx="1636033" cy="2135380"/>
          <a:chOff x="9948851977" y="4669680"/>
          <a:chExt cx="1635916" cy="2156570"/>
        </a:xfrm>
      </xdr:grpSpPr>
      <xdr:grpSp>
        <xdr:nvGrpSpPr>
          <xdr:cNvPr id="7462" name="Group 7461">
            <a:extLst>
              <a:ext uri="{FF2B5EF4-FFF2-40B4-BE49-F238E27FC236}">
                <a16:creationId xmlns:a16="http://schemas.microsoft.com/office/drawing/2014/main" id="{D84BC5BE-4E91-0367-A559-C8AB307657B3}"/>
              </a:ext>
            </a:extLst>
          </xdr:cNvPr>
          <xdr:cNvGrpSpPr/>
        </xdr:nvGrpSpPr>
        <xdr:grpSpPr>
          <a:xfrm>
            <a:off x="9948851977" y="4669680"/>
            <a:ext cx="1635916" cy="2156570"/>
            <a:chOff x="9948851977" y="4669681"/>
            <a:chExt cx="1635916" cy="2156570"/>
          </a:xfrm>
        </xdr:grpSpPr>
        <xdr:graphicFrame macro="">
          <xdr:nvGraphicFramePr>
            <xdr:cNvPr id="7472" name="Chart 7471">
              <a:extLst>
                <a:ext uri="{FF2B5EF4-FFF2-40B4-BE49-F238E27FC236}">
                  <a16:creationId xmlns:a16="http://schemas.microsoft.com/office/drawing/2014/main" id="{C0770D3C-0147-E575-E765-0685B435F426}"/>
                </a:ext>
              </a:extLst>
            </xdr:cNvPr>
            <xdr:cNvGraphicFramePr>
              <a:graphicFrameLocks/>
            </xdr:cNvGraphicFramePr>
          </xdr:nvGraphicFramePr>
          <xdr:xfrm>
            <a:off x="9948968149" y="4861034"/>
            <a:ext cx="1394263" cy="1346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8"/>
            </a:graphicData>
          </a:graphic>
        </xdr:graphicFrame>
        <xdr:grpSp>
          <xdr:nvGrpSpPr>
            <xdr:cNvPr id="7473" name="Group 7472">
              <a:extLst>
                <a:ext uri="{FF2B5EF4-FFF2-40B4-BE49-F238E27FC236}">
                  <a16:creationId xmlns:a16="http://schemas.microsoft.com/office/drawing/2014/main" id="{D163E619-E101-CCFD-8812-5CCE3DA8C13B}"/>
                </a:ext>
              </a:extLst>
            </xdr:cNvPr>
            <xdr:cNvGrpSpPr/>
          </xdr:nvGrpSpPr>
          <xdr:grpSpPr>
            <a:xfrm>
              <a:off x="9948851977" y="4669681"/>
              <a:ext cx="1635916" cy="2156570"/>
              <a:chOff x="9948851977" y="4669681"/>
              <a:chExt cx="1635916" cy="2156570"/>
            </a:xfrm>
          </xdr:grpSpPr>
          <xdr:grpSp>
            <xdr:nvGrpSpPr>
              <xdr:cNvPr id="7474" name="Group 7473">
                <a:extLst>
                  <a:ext uri="{FF2B5EF4-FFF2-40B4-BE49-F238E27FC236}">
                    <a16:creationId xmlns:a16="http://schemas.microsoft.com/office/drawing/2014/main" id="{946E0229-E2C3-6CD1-BE14-63CD39C0D07A}"/>
                  </a:ext>
                </a:extLst>
              </xdr:cNvPr>
              <xdr:cNvGrpSpPr/>
            </xdr:nvGrpSpPr>
            <xdr:grpSpPr>
              <a:xfrm>
                <a:off x="9948851977" y="4669681"/>
                <a:ext cx="1635916" cy="2156570"/>
                <a:chOff x="9992800972" y="4613722"/>
                <a:chExt cx="1723858" cy="2332473"/>
              </a:xfrm>
            </xdr:grpSpPr>
            <xdr:sp macro="" textlink="">
              <xdr:nvSpPr>
                <xdr:cNvPr id="7476" name="Rectangle: Rounded Corners 7475">
                  <a:extLst>
                    <a:ext uri="{FF2B5EF4-FFF2-40B4-BE49-F238E27FC236}">
                      <a16:creationId xmlns:a16="http://schemas.microsoft.com/office/drawing/2014/main" id="{09024C10-FDE3-EDAD-131F-5D382309E655}"/>
                    </a:ext>
                  </a:extLst>
                </xdr:cNvPr>
                <xdr:cNvSpPr/>
              </xdr:nvSpPr>
              <xdr:spPr>
                <a:xfrm>
                  <a:off x="9992855852" y="4613722"/>
                  <a:ext cx="1614002" cy="2332473"/>
                </a:xfrm>
                <a:prstGeom prst="roundRect">
                  <a:avLst>
                    <a:gd name="adj" fmla="val 2426"/>
                  </a:avLst>
                </a:prstGeom>
                <a:noFill/>
                <a:ln>
                  <a:solidFill>
                    <a:srgbClr val="480D9F"/>
                  </a:solidFill>
                </a:ln>
              </xdr:spPr>
              <xdr:style>
                <a:lnRef idx="2">
                  <a:schemeClr val="accent1"/>
                </a:lnRef>
                <a:fillRef idx="1">
                  <a:schemeClr val="lt1"/>
                </a:fillRef>
                <a:effectRef idx="0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rtlCol="1" anchor="t"/>
                <a:lstStyle/>
                <a:p>
                  <a:pPr algn="r" rtl="1"/>
                  <a:endParaRPr lang="fa-IR" sz="1100">
                    <a:solidFill>
                      <a:schemeClr val="accent5">
                        <a:lumMod val="7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7477" name="Right Triangle 7476">
                  <a:extLst>
                    <a:ext uri="{FF2B5EF4-FFF2-40B4-BE49-F238E27FC236}">
                      <a16:creationId xmlns:a16="http://schemas.microsoft.com/office/drawing/2014/main" id="{7DB72BB5-4C00-5F0B-CB45-D60E5C6DC1FE}"/>
                    </a:ext>
                  </a:extLst>
                </xdr:cNvPr>
                <xdr:cNvSpPr/>
              </xdr:nvSpPr>
              <xdr:spPr>
                <a:xfrm rot="891546" flipH="1">
                  <a:off x="9992815888" y="4834818"/>
                  <a:ext cx="50699" cy="116734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78" name="Right Triangle 7477">
                  <a:extLst>
                    <a:ext uri="{FF2B5EF4-FFF2-40B4-BE49-F238E27FC236}">
                      <a16:creationId xmlns:a16="http://schemas.microsoft.com/office/drawing/2014/main" id="{C610B7D2-5E15-2E09-ED5C-461E3BB89D8A}"/>
                    </a:ext>
                  </a:extLst>
                </xdr:cNvPr>
                <xdr:cNvSpPr/>
              </xdr:nvSpPr>
              <xdr:spPr>
                <a:xfrm rot="20315953">
                  <a:off x="9994442898" y="4793189"/>
                  <a:ext cx="50766" cy="167801"/>
                </a:xfrm>
                <a:prstGeom prst="rtTriangle">
                  <a:avLst/>
                </a:prstGeom>
                <a:solidFill>
                  <a:srgbClr val="23064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  <xdr:sp macro="" textlink="">
              <xdr:nvSpPr>
                <xdr:cNvPr id="7479" name="Rectangle 7478">
                  <a:extLst>
                    <a:ext uri="{FF2B5EF4-FFF2-40B4-BE49-F238E27FC236}">
                      <a16:creationId xmlns:a16="http://schemas.microsoft.com/office/drawing/2014/main" id="{AFACE305-4307-F68C-03DF-72FC88DCF62A}"/>
                    </a:ext>
                  </a:extLst>
                </xdr:cNvPr>
                <xdr:cNvSpPr/>
              </xdr:nvSpPr>
              <xdr:spPr>
                <a:xfrm>
                  <a:off x="9992800972" y="4658354"/>
                  <a:ext cx="1723858" cy="284064"/>
                </a:xfrm>
                <a:prstGeom prst="rect">
                  <a:avLst/>
                </a:prstGeom>
                <a:solidFill>
                  <a:srgbClr val="480D9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r" rtl="1"/>
                  <a:endParaRPr lang="en-US" sz="1100"/>
                </a:p>
              </xdr:txBody>
            </xdr:sp>
          </xdr:grpSp>
          <xdr:sp macro="" textlink="">
            <xdr:nvSpPr>
              <xdr:cNvPr id="7475" name="TextBox 7474">
                <a:extLst>
                  <a:ext uri="{FF2B5EF4-FFF2-40B4-BE49-F238E27FC236}">
                    <a16:creationId xmlns:a16="http://schemas.microsoft.com/office/drawing/2014/main" id="{65076043-975E-D0CF-ACD5-C6CDC8921C25}"/>
                  </a:ext>
                </a:extLst>
              </xdr:cNvPr>
              <xdr:cNvSpPr txBox="1"/>
            </xdr:nvSpPr>
            <xdr:spPr>
              <a:xfrm>
                <a:off x="9949015775" y="4703299"/>
                <a:ext cx="1308320" cy="371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 rtl="1"/>
                <a:r>
                  <a:rPr lang="fa-IR" sz="900" b="1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SamanBank" panose="00000500000000000000" pitchFamily="2" charset="-78"/>
                    <a:cs typeface="B Nazanin" panose="00000400000000000000" pitchFamily="2" charset="-78"/>
                  </a:rPr>
                  <a:t>شاخص فضای رقابیت بودن</a:t>
                </a:r>
                <a:endParaRPr lang="en-US" sz="900" b="1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SamanBank" panose="00000500000000000000" pitchFamily="2" charset="-78"/>
                  <a:cs typeface="B Nazanin" panose="00000400000000000000" pitchFamily="2" charset="-78"/>
                </a:endParaRPr>
              </a:p>
            </xdr:txBody>
          </xdr:sp>
        </xdr:grpSp>
      </xdr:grpSp>
      <xdr:sp macro="" textlink="">
        <xdr:nvSpPr>
          <xdr:cNvPr id="7463" name="Rectangle 7462">
            <a:extLst>
              <a:ext uri="{FF2B5EF4-FFF2-40B4-BE49-F238E27FC236}">
                <a16:creationId xmlns:a16="http://schemas.microsoft.com/office/drawing/2014/main" id="{FE82D327-9A98-B768-11E1-3F1E6E1FEBCF}"/>
              </a:ext>
            </a:extLst>
          </xdr:cNvPr>
          <xdr:cNvSpPr/>
        </xdr:nvSpPr>
        <xdr:spPr>
          <a:xfrm>
            <a:off x="9949086939" y="6163878"/>
            <a:ext cx="574785" cy="22991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64" name="Rectangle 7463">
            <a:extLst>
              <a:ext uri="{FF2B5EF4-FFF2-40B4-BE49-F238E27FC236}">
                <a16:creationId xmlns:a16="http://schemas.microsoft.com/office/drawing/2014/main" id="{C506CA7C-485A-5966-7A6D-8D908ECABAF4}"/>
              </a:ext>
            </a:extLst>
          </xdr:cNvPr>
          <xdr:cNvSpPr/>
        </xdr:nvSpPr>
        <xdr:spPr>
          <a:xfrm>
            <a:off x="9949075991" y="6437586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65" name="Rectangle 7464">
            <a:extLst>
              <a:ext uri="{FF2B5EF4-FFF2-40B4-BE49-F238E27FC236}">
                <a16:creationId xmlns:a16="http://schemas.microsoft.com/office/drawing/2014/main" id="{A67793EB-D7CB-E3F0-4FDE-EBD87EF37BDD}"/>
              </a:ext>
            </a:extLst>
          </xdr:cNvPr>
          <xdr:cNvSpPr/>
        </xdr:nvSpPr>
        <xdr:spPr>
          <a:xfrm>
            <a:off x="9949705517" y="6443061"/>
            <a:ext cx="574785" cy="22991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endParaRPr lang="en-US" sz="1100"/>
          </a:p>
        </xdr:txBody>
      </xdr:sp>
      <xdr:sp macro="" textlink="">
        <xdr:nvSpPr>
          <xdr:cNvPr id="7466" name="Rectangle 7465">
            <a:extLst>
              <a:ext uri="{FF2B5EF4-FFF2-40B4-BE49-F238E27FC236}">
                <a16:creationId xmlns:a16="http://schemas.microsoft.com/office/drawing/2014/main" id="{60F378D9-FDD2-5B3D-4C89-16DFB747EE83}"/>
              </a:ext>
            </a:extLst>
          </xdr:cNvPr>
          <xdr:cNvSpPr/>
        </xdr:nvSpPr>
        <xdr:spPr>
          <a:xfrm>
            <a:off x="9949070518" y="6158405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r>
              <a:rPr lang="fa-IR" sz="1050">
                <a:solidFill>
                  <a:schemeClr val="bg1"/>
                </a:solidFill>
                <a:cs typeface="B Nazanin" panose="00000400000000000000" pitchFamily="2" charset="-78"/>
              </a:rPr>
              <a:t>میانگین</a:t>
            </a:r>
            <a:endParaRPr lang="en-US" sz="1050">
              <a:solidFill>
                <a:schemeClr val="bg1"/>
              </a:solidFill>
              <a:cs typeface="B Nazanin" panose="00000400000000000000" pitchFamily="2" charset="-78"/>
            </a:endParaRPr>
          </a:p>
        </xdr:txBody>
      </xdr:sp>
      <xdr:sp macro="" textlink="calcu2!K19">
        <xdr:nvSpPr>
          <xdr:cNvPr id="7467" name="Rectangle 7466">
            <a:extLst>
              <a:ext uri="{FF2B5EF4-FFF2-40B4-BE49-F238E27FC236}">
                <a16:creationId xmlns:a16="http://schemas.microsoft.com/office/drawing/2014/main" id="{9B17DBFF-E9BC-2A4E-B157-CD6765027812}"/>
              </a:ext>
            </a:extLst>
          </xdr:cNvPr>
          <xdr:cNvSpPr/>
        </xdr:nvSpPr>
        <xdr:spPr>
          <a:xfrm>
            <a:off x="9949672674" y="6426639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D741191A-1EBE-438A-B904-2E5AAE4FF851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-61%</a:t>
            </a:fld>
            <a:endParaRPr lang="en-US" sz="1000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sp macro="" textlink="calcu2!F9">
        <xdr:nvSpPr>
          <xdr:cNvPr id="7468" name="Rectangle 7467">
            <a:extLst>
              <a:ext uri="{FF2B5EF4-FFF2-40B4-BE49-F238E27FC236}">
                <a16:creationId xmlns:a16="http://schemas.microsoft.com/office/drawing/2014/main" id="{F77E4581-BB1E-A7EE-9539-037904B9C078}"/>
              </a:ext>
            </a:extLst>
          </xdr:cNvPr>
          <xdr:cNvSpPr/>
        </xdr:nvSpPr>
        <xdr:spPr>
          <a:xfrm>
            <a:off x="9949040441" y="6381423"/>
            <a:ext cx="574785" cy="22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 rtl="1"/>
            <a:fld id="{992BBA3B-A533-4D53-B4C7-14CF2B1BB7EA}" type="TxLink">
              <a:rPr lang="en-US" sz="1100" b="0" i="0" u="none" strike="noStrike">
                <a:solidFill>
                  <a:schemeClr val="accent2">
                    <a:lumMod val="75000"/>
                  </a:schemeClr>
                </a:solidFill>
                <a:latin typeface="Calibri"/>
                <a:cs typeface="Calibri"/>
              </a:rPr>
              <a:pPr algn="r" rtl="1"/>
              <a:t>38%</a:t>
            </a:fld>
            <a:endParaRPr lang="en-US" sz="1200" b="1">
              <a:solidFill>
                <a:schemeClr val="accent2">
                  <a:lumMod val="75000"/>
                </a:schemeClr>
              </a:solidFill>
              <a:latin typeface="Century" panose="02040604050505020304" pitchFamily="18" charset="0"/>
              <a:cs typeface="B Nazanin" panose="00000400000000000000" pitchFamily="2" charset="-78"/>
            </a:endParaRPr>
          </a:p>
        </xdr:txBody>
      </xdr:sp>
      <xdr:grpSp>
        <xdr:nvGrpSpPr>
          <xdr:cNvPr id="7469" name="Group 7468">
            <a:extLst>
              <a:ext uri="{FF2B5EF4-FFF2-40B4-BE49-F238E27FC236}">
                <a16:creationId xmlns:a16="http://schemas.microsoft.com/office/drawing/2014/main" id="{E67895E4-FC26-71A3-AFD0-B584B6E52197}"/>
              </a:ext>
            </a:extLst>
          </xdr:cNvPr>
          <xdr:cNvGrpSpPr/>
        </xdr:nvGrpSpPr>
        <xdr:grpSpPr>
          <a:xfrm>
            <a:off x="9949702781" y="6161141"/>
            <a:ext cx="574785" cy="229914"/>
            <a:chOff x="9949867005" y="6172090"/>
            <a:chExt cx="574785" cy="229914"/>
          </a:xfrm>
        </xdr:grpSpPr>
        <xdr:sp macro="" textlink="">
          <xdr:nvSpPr>
            <xdr:cNvPr id="7470" name="Rectangle 7469">
              <a:extLst>
                <a:ext uri="{FF2B5EF4-FFF2-40B4-BE49-F238E27FC236}">
                  <a16:creationId xmlns:a16="http://schemas.microsoft.com/office/drawing/2014/main" id="{1A28D147-99CC-490A-B488-B61B8C656CEF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471" name="Rectangle 7470">
              <a:extLst>
                <a:ext uri="{FF2B5EF4-FFF2-40B4-BE49-F238E27FC236}">
                  <a16:creationId xmlns:a16="http://schemas.microsoft.com/office/drawing/2014/main" id="{F045A88C-9FB2-895E-D0DD-5D746BA44DF7}"/>
                </a:ext>
              </a:extLst>
            </xdr:cNvPr>
            <xdr:cNvSpPr/>
          </xdr:nvSpPr>
          <xdr:spPr>
            <a:xfrm>
              <a:off x="9949867005" y="6172090"/>
              <a:ext cx="574785" cy="22991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 rtl="1"/>
              <a:r>
                <a:rPr lang="fa-IR" sz="800">
                  <a:solidFill>
                    <a:schemeClr val="bg1"/>
                  </a:solidFill>
                  <a:cs typeface="B Nazanin" panose="00000400000000000000" pitchFamily="2" charset="-78"/>
                </a:rPr>
                <a:t>رشد شاخص</a:t>
              </a:r>
              <a:endParaRPr lang="en-US" sz="80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xdr:grpSp>
    </xdr:grpSp>
    <xdr:clientData/>
  </xdr:twoCellAnchor>
  <xdr:twoCellAnchor>
    <xdr:from>
      <xdr:col>6</xdr:col>
      <xdr:colOff>98511</xdr:colOff>
      <xdr:row>25</xdr:row>
      <xdr:rowOff>75408</xdr:rowOff>
    </xdr:from>
    <xdr:to>
      <xdr:col>8</xdr:col>
      <xdr:colOff>45455</xdr:colOff>
      <xdr:row>26</xdr:row>
      <xdr:rowOff>99288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409643C-0405-4D6A-BC97-3B07E734C3D6}"/>
            </a:ext>
          </a:extLst>
        </xdr:cNvPr>
        <xdr:cNvSpPr/>
      </xdr:nvSpPr>
      <xdr:spPr>
        <a:xfrm>
          <a:off x="9951722341" y="4684279"/>
          <a:ext cx="1162320" cy="208235"/>
        </a:xfrm>
        <a:prstGeom prst="roundRect">
          <a:avLst/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800" b="1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Webdings" panose="05030102010509060703" pitchFamily="18" charset="2"/>
              <a:cs typeface="B Nazanin" panose="00000400000000000000" pitchFamily="2" charset="-78"/>
            </a:rPr>
            <a:t>شاخص پیشرفت فیزیکی </a:t>
          </a:r>
          <a:endParaRPr lang="en-US" sz="800" b="1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Webdings" panose="05030102010509060703" pitchFamily="18" charset="2"/>
            <a:cs typeface="B Nazanin" panose="000004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11</xdr:row>
      <xdr:rowOff>41274</xdr:rowOff>
    </xdr:from>
    <xdr:to>
      <xdr:col>14</xdr:col>
      <xdr:colOff>473075</xdr:colOff>
      <xdr:row>26</xdr:row>
      <xdr:rowOff>22224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FB24D88-F4FF-57E0-B978-9B437B8171AF}"/>
            </a:ext>
          </a:extLst>
        </xdr:cNvPr>
        <xdr:cNvGrpSpPr/>
      </xdr:nvGrpSpPr>
      <xdr:grpSpPr>
        <a:xfrm>
          <a:off x="9978678925" y="2378074"/>
          <a:ext cx="2720975" cy="2743200"/>
          <a:chOff x="9978678925" y="2378074"/>
          <a:chExt cx="4572000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9FFAF82-2D13-6F82-E91D-EFBA0AD893C3}"/>
              </a:ext>
            </a:extLst>
          </xdr:cNvPr>
          <xdr:cNvGraphicFramePr/>
        </xdr:nvGraphicFramePr>
        <xdr:xfrm>
          <a:off x="9978678925" y="2378074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583B5FC-1FCF-F8BA-76DB-A1CDAE102638}"/>
              </a:ext>
            </a:extLst>
          </xdr:cNvPr>
          <xdr:cNvGraphicFramePr/>
        </xdr:nvGraphicFramePr>
        <xdr:xfrm>
          <a:off x="9979420288" y="2868612"/>
          <a:ext cx="3089275" cy="17621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222250</xdr:colOff>
      <xdr:row>3</xdr:row>
      <xdr:rowOff>44450</xdr:rowOff>
    </xdr:from>
    <xdr:to>
      <xdr:col>15</xdr:col>
      <xdr:colOff>320675</xdr:colOff>
      <xdr:row>11</xdr:row>
      <xdr:rowOff>136524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A979B-E2B6-9108-4EE5-80B00FAC9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3" totalsRowShown="0" headerRowDxfId="8" headerRowBorderDxfId="7" tableBorderDxfId="6" totalsRowBorderDxfId="5">
  <autoFilter ref="A1:C33" xr:uid="{00000000-0009-0000-0100-000001000000}"/>
  <tableColumns count="3">
    <tableColumn id="1" xr3:uid="{00000000-0010-0000-0000-000001000000}" name="فصل" dataDxfId="4"/>
    <tableColumn id="2" xr3:uid="{00000000-0010-0000-0000-000002000000}" name="نام شاخص" dataDxfId="3"/>
    <tableColumn id="3" xr3:uid="{00000000-0010-0000-0000-000003000000}" name="درصد" dataDxfId="2" dataCellStyle="Percent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E1:G33" totalsRowShown="0">
  <autoFilter ref="E1:G33" xr:uid="{00000000-0009-0000-0100-000003000000}"/>
  <tableColumns count="3">
    <tableColumn id="1" xr3:uid="{00000000-0010-0000-0100-000001000000}" name="فصل" dataDxfId="1"/>
    <tableColumn id="2" xr3:uid="{00000000-0010-0000-0100-000002000000}" name="نام شاخص" dataDxfId="0"/>
    <tableColumn id="3" xr3:uid="{00000000-0010-0000-0100-000003000000}" name="درص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rightToLeft="1" zoomScale="130" zoomScaleNormal="130" workbookViewId="0">
      <pane ySplit="1" topLeftCell="A2" activePane="bottomLeft" state="frozen"/>
      <selection pane="bottomLeft" activeCell="F2" sqref="F2"/>
    </sheetView>
  </sheetViews>
  <sheetFormatPr defaultRowHeight="15" x14ac:dyDescent="0.35"/>
  <cols>
    <col min="1" max="1" width="9.453125" style="1" hidden="1" customWidth="1"/>
    <col min="2" max="2" width="27.26953125" style="1" hidden="1" customWidth="1"/>
    <col min="3" max="4" width="0" style="1" hidden="1" customWidth="1"/>
    <col min="5" max="5" width="9.453125" style="1" bestFit="1" customWidth="1"/>
    <col min="6" max="6" width="27.26953125" style="1" bestFit="1" customWidth="1"/>
  </cols>
  <sheetData>
    <row r="1" spans="1:7" ht="24" customHeight="1" x14ac:dyDescent="0.35">
      <c r="A1" s="5" t="s">
        <v>13</v>
      </c>
      <c r="B1" s="6" t="s">
        <v>14</v>
      </c>
      <c r="C1" s="7" t="s">
        <v>8</v>
      </c>
      <c r="E1" s="1" t="s">
        <v>13</v>
      </c>
      <c r="F1" s="1" t="s">
        <v>14</v>
      </c>
      <c r="G1" t="s">
        <v>8</v>
      </c>
    </row>
    <row r="2" spans="1:7" x14ac:dyDescent="0.35">
      <c r="A2" s="3" t="s">
        <v>0</v>
      </c>
      <c r="B2" s="2" t="s">
        <v>3</v>
      </c>
      <c r="C2" s="4">
        <v>0.2</v>
      </c>
      <c r="E2" s="1" t="s">
        <v>0</v>
      </c>
      <c r="F2" s="1" t="s">
        <v>3</v>
      </c>
      <c r="G2">
        <v>0.2</v>
      </c>
    </row>
    <row r="3" spans="1:7" x14ac:dyDescent="0.35">
      <c r="A3" s="3" t="s">
        <v>0</v>
      </c>
      <c r="B3" s="2" t="s">
        <v>1</v>
      </c>
      <c r="C3" s="4">
        <v>0.2</v>
      </c>
      <c r="E3" s="1" t="s">
        <v>0</v>
      </c>
      <c r="F3" s="1" t="s">
        <v>1</v>
      </c>
      <c r="G3">
        <v>0.2</v>
      </c>
    </row>
    <row r="4" spans="1:7" x14ac:dyDescent="0.35">
      <c r="A4" s="3" t="s">
        <v>0</v>
      </c>
      <c r="B4" s="2" t="s">
        <v>2</v>
      </c>
      <c r="C4" s="4">
        <v>0.08</v>
      </c>
      <c r="E4" s="1" t="s">
        <v>0</v>
      </c>
      <c r="F4" s="1" t="s">
        <v>2</v>
      </c>
      <c r="G4">
        <v>0.08</v>
      </c>
    </row>
    <row r="5" spans="1:7" x14ac:dyDescent="0.35">
      <c r="A5" s="3" t="s">
        <v>0</v>
      </c>
      <c r="B5" s="2" t="s">
        <v>12</v>
      </c>
      <c r="C5" s="4">
        <v>0.2</v>
      </c>
      <c r="E5" s="1" t="s">
        <v>0</v>
      </c>
      <c r="F5" s="1" t="s">
        <v>12</v>
      </c>
      <c r="G5">
        <v>0.2</v>
      </c>
    </row>
    <row r="6" spans="1:7" x14ac:dyDescent="0.35">
      <c r="A6" s="3" t="s">
        <v>0</v>
      </c>
      <c r="B6" s="2" t="s">
        <v>4</v>
      </c>
      <c r="C6" s="4">
        <v>0.15</v>
      </c>
      <c r="E6" s="1" t="s">
        <v>0</v>
      </c>
      <c r="F6" s="1" t="s">
        <v>4</v>
      </c>
      <c r="G6">
        <v>0.15</v>
      </c>
    </row>
    <row r="7" spans="1:7" x14ac:dyDescent="0.35">
      <c r="A7" s="3" t="s">
        <v>0</v>
      </c>
      <c r="B7" s="2" t="s">
        <v>5</v>
      </c>
      <c r="C7" s="4">
        <v>0.14000000000000001</v>
      </c>
      <c r="E7" s="1" t="s">
        <v>0</v>
      </c>
      <c r="F7" s="1" t="s">
        <v>5</v>
      </c>
      <c r="G7">
        <v>0.14000000000000001</v>
      </c>
    </row>
    <row r="8" spans="1:7" x14ac:dyDescent="0.35">
      <c r="A8" s="3" t="s">
        <v>0</v>
      </c>
      <c r="B8" s="2" t="s">
        <v>6</v>
      </c>
      <c r="C8" s="4">
        <v>0.05</v>
      </c>
      <c r="E8" s="1" t="s">
        <v>0</v>
      </c>
      <c r="F8" s="1" t="s">
        <v>6</v>
      </c>
      <c r="G8">
        <v>0.05</v>
      </c>
    </row>
    <row r="9" spans="1:7" x14ac:dyDescent="0.35">
      <c r="A9" s="3" t="s">
        <v>0</v>
      </c>
      <c r="B9" s="2" t="s">
        <v>7</v>
      </c>
      <c r="C9" s="4">
        <v>0.1</v>
      </c>
      <c r="E9" s="1" t="s">
        <v>0</v>
      </c>
      <c r="F9" s="1" t="s">
        <v>7</v>
      </c>
      <c r="G9">
        <v>0.1</v>
      </c>
    </row>
    <row r="10" spans="1:7" x14ac:dyDescent="0.35">
      <c r="A10" s="3" t="s">
        <v>9</v>
      </c>
      <c r="B10" s="2" t="s">
        <v>3</v>
      </c>
      <c r="C10" s="4">
        <v>0.14000000000000001</v>
      </c>
      <c r="E10" s="1" t="s">
        <v>9</v>
      </c>
      <c r="F10" s="1" t="s">
        <v>3</v>
      </c>
      <c r="G10">
        <v>0.14000000000000001</v>
      </c>
    </row>
    <row r="11" spans="1:7" x14ac:dyDescent="0.35">
      <c r="A11" s="3" t="s">
        <v>9</v>
      </c>
      <c r="B11" s="2" t="s">
        <v>1</v>
      </c>
      <c r="C11" s="4">
        <v>0.22</v>
      </c>
      <c r="E11" s="1" t="s">
        <v>9</v>
      </c>
      <c r="F11" s="1" t="s">
        <v>1</v>
      </c>
      <c r="G11">
        <v>0.22</v>
      </c>
    </row>
    <row r="12" spans="1:7" x14ac:dyDescent="0.35">
      <c r="A12" s="3" t="s">
        <v>9</v>
      </c>
      <c r="B12" s="2" t="s">
        <v>2</v>
      </c>
      <c r="C12" s="4">
        <v>0.5</v>
      </c>
      <c r="E12" s="1" t="s">
        <v>9</v>
      </c>
      <c r="F12" s="1" t="s">
        <v>2</v>
      </c>
      <c r="G12">
        <v>0.5</v>
      </c>
    </row>
    <row r="13" spans="1:7" x14ac:dyDescent="0.35">
      <c r="A13" s="3" t="s">
        <v>9</v>
      </c>
      <c r="B13" s="2" t="s">
        <v>12</v>
      </c>
      <c r="C13" s="4">
        <v>0.06</v>
      </c>
      <c r="E13" s="1" t="s">
        <v>9</v>
      </c>
      <c r="F13" s="1" t="s">
        <v>12</v>
      </c>
      <c r="G13">
        <v>0.06</v>
      </c>
    </row>
    <row r="14" spans="1:7" x14ac:dyDescent="0.35">
      <c r="A14" s="3" t="s">
        <v>9</v>
      </c>
      <c r="B14" s="2" t="s">
        <v>4</v>
      </c>
      <c r="C14" s="4">
        <v>0.08</v>
      </c>
      <c r="E14" s="1" t="s">
        <v>9</v>
      </c>
      <c r="F14" s="1" t="s">
        <v>4</v>
      </c>
      <c r="G14">
        <v>0.08</v>
      </c>
    </row>
    <row r="15" spans="1:7" x14ac:dyDescent="0.35">
      <c r="A15" s="3" t="s">
        <v>9</v>
      </c>
      <c r="B15" s="2" t="s">
        <v>5</v>
      </c>
      <c r="C15" s="4">
        <v>0.16</v>
      </c>
      <c r="E15" s="1" t="s">
        <v>9</v>
      </c>
      <c r="F15" s="1" t="s">
        <v>5</v>
      </c>
      <c r="G15">
        <v>0.16</v>
      </c>
    </row>
    <row r="16" spans="1:7" x14ac:dyDescent="0.35">
      <c r="A16" s="3" t="s">
        <v>9</v>
      </c>
      <c r="B16" s="2" t="s">
        <v>6</v>
      </c>
      <c r="C16" s="4">
        <v>0.05</v>
      </c>
      <c r="E16" s="1" t="s">
        <v>9</v>
      </c>
      <c r="F16" s="1" t="s">
        <v>6</v>
      </c>
      <c r="G16">
        <v>0.05</v>
      </c>
    </row>
    <row r="17" spans="1:7" x14ac:dyDescent="0.35">
      <c r="A17" s="3" t="s">
        <v>9</v>
      </c>
      <c r="B17" s="2" t="s">
        <v>7</v>
      </c>
      <c r="C17" s="4">
        <v>0.4</v>
      </c>
      <c r="E17" s="1" t="s">
        <v>9</v>
      </c>
      <c r="F17" s="1" t="s">
        <v>7</v>
      </c>
      <c r="G17">
        <v>0.4</v>
      </c>
    </row>
    <row r="18" spans="1:7" x14ac:dyDescent="0.35">
      <c r="A18" s="3" t="s">
        <v>10</v>
      </c>
      <c r="B18" s="2" t="s">
        <v>3</v>
      </c>
      <c r="C18" s="4">
        <v>0.9</v>
      </c>
      <c r="E18" s="1" t="s">
        <v>10</v>
      </c>
      <c r="F18" s="1" t="s">
        <v>3</v>
      </c>
      <c r="G18">
        <v>0.9</v>
      </c>
    </row>
    <row r="19" spans="1:7" x14ac:dyDescent="0.35">
      <c r="A19" s="3" t="s">
        <v>10</v>
      </c>
      <c r="B19" s="2" t="s">
        <v>1</v>
      </c>
      <c r="C19" s="4">
        <v>0.76</v>
      </c>
      <c r="E19" s="1" t="s">
        <v>10</v>
      </c>
      <c r="F19" s="1" t="s">
        <v>1</v>
      </c>
      <c r="G19">
        <v>0.76</v>
      </c>
    </row>
    <row r="20" spans="1:7" x14ac:dyDescent="0.35">
      <c r="A20" s="3" t="s">
        <v>10</v>
      </c>
      <c r="B20" s="2" t="s">
        <v>2</v>
      </c>
      <c r="C20" s="4">
        <v>0.6</v>
      </c>
      <c r="E20" s="1" t="s">
        <v>10</v>
      </c>
      <c r="F20" s="1" t="s">
        <v>2</v>
      </c>
      <c r="G20">
        <v>0.6</v>
      </c>
    </row>
    <row r="21" spans="1:7" x14ac:dyDescent="0.35">
      <c r="A21" s="3" t="s">
        <v>10</v>
      </c>
      <c r="B21" s="2" t="s">
        <v>12</v>
      </c>
      <c r="C21" s="4">
        <v>0.5</v>
      </c>
      <c r="E21" s="1" t="s">
        <v>10</v>
      </c>
      <c r="F21" s="1" t="s">
        <v>12</v>
      </c>
      <c r="G21">
        <v>0.5</v>
      </c>
    </row>
    <row r="22" spans="1:7" x14ac:dyDescent="0.35">
      <c r="A22" s="3" t="s">
        <v>10</v>
      </c>
      <c r="B22" s="2" t="s">
        <v>4</v>
      </c>
      <c r="C22" s="4">
        <v>0.7</v>
      </c>
      <c r="E22" s="1" t="s">
        <v>10</v>
      </c>
      <c r="F22" s="1" t="s">
        <v>4</v>
      </c>
      <c r="G22">
        <v>0.7</v>
      </c>
    </row>
    <row r="23" spans="1:7" x14ac:dyDescent="0.35">
      <c r="A23" s="3" t="s">
        <v>10</v>
      </c>
      <c r="B23" s="2" t="s">
        <v>5</v>
      </c>
      <c r="C23" s="4">
        <v>0.68</v>
      </c>
      <c r="E23" s="1" t="s">
        <v>10</v>
      </c>
      <c r="F23" s="1" t="s">
        <v>5</v>
      </c>
      <c r="G23">
        <v>0.68</v>
      </c>
    </row>
    <row r="24" spans="1:7" x14ac:dyDescent="0.35">
      <c r="A24" s="3" t="s">
        <v>10</v>
      </c>
      <c r="B24" s="2" t="s">
        <v>6</v>
      </c>
      <c r="C24" s="4">
        <v>0.8</v>
      </c>
      <c r="E24" s="1" t="s">
        <v>10</v>
      </c>
      <c r="F24" s="1" t="s">
        <v>6</v>
      </c>
      <c r="G24">
        <v>0.8</v>
      </c>
    </row>
    <row r="25" spans="1:7" x14ac:dyDescent="0.35">
      <c r="A25" s="3" t="s">
        <v>10</v>
      </c>
      <c r="B25" s="2" t="s">
        <v>7</v>
      </c>
      <c r="C25" s="4">
        <v>0.72</v>
      </c>
      <c r="E25" s="1" t="s">
        <v>10</v>
      </c>
      <c r="F25" s="1" t="s">
        <v>7</v>
      </c>
      <c r="G25">
        <v>0.72</v>
      </c>
    </row>
    <row r="26" spans="1:7" x14ac:dyDescent="0.35">
      <c r="A26" s="3" t="s">
        <v>11</v>
      </c>
      <c r="B26" s="2" t="s">
        <v>3</v>
      </c>
      <c r="C26" s="4">
        <v>0.6</v>
      </c>
      <c r="E26" s="1" t="s">
        <v>11</v>
      </c>
      <c r="F26" s="1" t="s">
        <v>3</v>
      </c>
      <c r="G26">
        <v>0.6</v>
      </c>
    </row>
    <row r="27" spans="1:7" x14ac:dyDescent="0.35">
      <c r="A27" s="3" t="s">
        <v>11</v>
      </c>
      <c r="B27" s="2" t="s">
        <v>1</v>
      </c>
      <c r="C27" s="4">
        <v>0.3</v>
      </c>
      <c r="E27" s="1" t="s">
        <v>11</v>
      </c>
      <c r="F27" s="1" t="s">
        <v>1</v>
      </c>
      <c r="G27">
        <v>0.3</v>
      </c>
    </row>
    <row r="28" spans="1:7" x14ac:dyDescent="0.35">
      <c r="A28" s="3" t="s">
        <v>11</v>
      </c>
      <c r="B28" s="2" t="s">
        <v>2</v>
      </c>
      <c r="C28" s="4">
        <v>0.5</v>
      </c>
      <c r="E28" s="1" t="s">
        <v>11</v>
      </c>
      <c r="F28" s="1" t="s">
        <v>2</v>
      </c>
      <c r="G28">
        <v>0.5</v>
      </c>
    </row>
    <row r="29" spans="1:7" x14ac:dyDescent="0.35">
      <c r="A29" s="3" t="s">
        <v>11</v>
      </c>
      <c r="B29" s="2" t="s">
        <v>12</v>
      </c>
      <c r="C29" s="4">
        <v>0.6</v>
      </c>
      <c r="E29" s="1" t="s">
        <v>11</v>
      </c>
      <c r="F29" s="1" t="s">
        <v>12</v>
      </c>
      <c r="G29">
        <v>0.6</v>
      </c>
    </row>
    <row r="30" spans="1:7" x14ac:dyDescent="0.35">
      <c r="A30" s="3" t="s">
        <v>11</v>
      </c>
      <c r="B30" s="2" t="s">
        <v>4</v>
      </c>
      <c r="C30" s="4">
        <v>0.3</v>
      </c>
      <c r="E30" s="1" t="s">
        <v>11</v>
      </c>
      <c r="F30" s="1" t="s">
        <v>4</v>
      </c>
      <c r="G30">
        <v>0.3</v>
      </c>
    </row>
    <row r="31" spans="1:7" x14ac:dyDescent="0.35">
      <c r="A31" s="3" t="s">
        <v>11</v>
      </c>
      <c r="B31" s="2" t="s">
        <v>5</v>
      </c>
      <c r="C31" s="4">
        <v>0.4</v>
      </c>
      <c r="E31" s="1" t="s">
        <v>11</v>
      </c>
      <c r="F31" s="1" t="s">
        <v>5</v>
      </c>
      <c r="G31">
        <v>0.4</v>
      </c>
    </row>
    <row r="32" spans="1:7" x14ac:dyDescent="0.35">
      <c r="A32" s="3" t="s">
        <v>11</v>
      </c>
      <c r="B32" s="2" t="s">
        <v>6</v>
      </c>
      <c r="C32" s="4">
        <v>0.36</v>
      </c>
      <c r="E32" s="1" t="s">
        <v>11</v>
      </c>
      <c r="F32" s="1" t="s">
        <v>6</v>
      </c>
      <c r="G32">
        <v>0.36</v>
      </c>
    </row>
    <row r="33" spans="1:7" x14ac:dyDescent="0.35">
      <c r="A33" s="8" t="s">
        <v>11</v>
      </c>
      <c r="B33" s="9" t="s">
        <v>7</v>
      </c>
      <c r="C33" s="10">
        <v>0.28000000000000003</v>
      </c>
      <c r="E33" s="1" t="s">
        <v>11</v>
      </c>
      <c r="F33" s="1" t="s">
        <v>7</v>
      </c>
      <c r="G33">
        <v>0.28000000000000003</v>
      </c>
    </row>
  </sheetData>
  <dataValidations count="1">
    <dataValidation type="list" allowBlank="1" showInputMessage="1" showErrorMessage="1" sqref="B2:B33" xr:uid="{00000000-0002-0000-0000-000000000000}">
      <formula1>#REF!</formula1>
    </dataValidation>
  </dataValidations>
  <pageMargins left="0.7" right="0.7" top="0.75" bottom="0.75" header="0.3" footer="0.3"/>
  <pageSetup paperSize="9" orientation="portrait" verticalDpi="0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list2!$A$1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N4:O4"/>
  <sheetViews>
    <sheetView showGridLines="0" rightToLeft="1" tabSelected="1" topLeftCell="A25" zoomScale="93" zoomScaleNormal="93" workbookViewId="0">
      <selection activeCell="M34" sqref="M34"/>
    </sheetView>
  </sheetViews>
  <sheetFormatPr defaultRowHeight="14.5" x14ac:dyDescent="0.35"/>
  <cols>
    <col min="11" max="11" width="12.54296875" customWidth="1"/>
  </cols>
  <sheetData>
    <row r="4" spans="14:15" x14ac:dyDescent="0.35">
      <c r="N4" s="14">
        <v>4</v>
      </c>
      <c r="O4" s="14" t="str">
        <f>INDEX(list2!A2:A5,dashboard2!N4)</f>
        <v>زمستان</v>
      </c>
    </row>
  </sheetData>
  <pageMargins left="0.16" right="0.16" top="0.2" bottom="0.16" header="0.16" footer="0.1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Option Button 1">
              <controlPr defaultSize="0" autoFill="0" autoLine="0" autoPict="0">
                <anchor moveWithCells="1">
                  <from>
                    <xdr:col>12</xdr:col>
                    <xdr:colOff>571500</xdr:colOff>
                    <xdr:row>5</xdr:row>
                    <xdr:rowOff>165100</xdr:rowOff>
                  </from>
                  <to>
                    <xdr:col>14</xdr:col>
                    <xdr:colOff>381000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Option Button 2">
              <controlPr defaultSize="0" autoFill="0" autoLine="0" autoPict="0">
                <anchor moveWithCells="1">
                  <from>
                    <xdr:col>12</xdr:col>
                    <xdr:colOff>571500</xdr:colOff>
                    <xdr:row>6</xdr:row>
                    <xdr:rowOff>184150</xdr:rowOff>
                  </from>
                  <to>
                    <xdr:col>14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Option Button 3">
              <controlPr defaultSize="0" autoFill="0" autoLine="0" autoPict="0">
                <anchor moveWithCells="1">
                  <from>
                    <xdr:col>12</xdr:col>
                    <xdr:colOff>571500</xdr:colOff>
                    <xdr:row>8</xdr:row>
                    <xdr:rowOff>38100</xdr:rowOff>
                  </from>
                  <to>
                    <xdr:col>14</xdr:col>
                    <xdr:colOff>381000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Option Button 4">
              <controlPr defaultSize="0" autoFill="0" autoLine="0" autoPict="0">
                <anchor moveWithCells="1">
                  <from>
                    <xdr:col>12</xdr:col>
                    <xdr:colOff>571500</xdr:colOff>
                    <xdr:row>9</xdr:row>
                    <xdr:rowOff>88900</xdr:rowOff>
                  </from>
                  <to>
                    <xdr:col>14</xdr:col>
                    <xdr:colOff>381000</xdr:colOff>
                    <xdr:row>10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rightToLeft="1" workbookViewId="0">
      <selection activeCell="B28" sqref="B28"/>
    </sheetView>
  </sheetViews>
  <sheetFormatPr defaultRowHeight="14.5" x14ac:dyDescent="0.35"/>
  <cols>
    <col min="2" max="2" width="8.453125" bestFit="1" customWidth="1"/>
  </cols>
  <sheetData>
    <row r="1" spans="1:17" s="15" customFormat="1" ht="39" x14ac:dyDescent="0.3">
      <c r="B1" s="11" t="s">
        <v>3</v>
      </c>
      <c r="C1" s="11" t="s">
        <v>1</v>
      </c>
      <c r="D1" s="11" t="s">
        <v>2</v>
      </c>
      <c r="E1" s="11" t="s">
        <v>12</v>
      </c>
      <c r="F1" s="11" t="s">
        <v>4</v>
      </c>
      <c r="G1" s="11" t="s">
        <v>5</v>
      </c>
      <c r="H1" s="11" t="s">
        <v>6</v>
      </c>
      <c r="I1" s="11" t="s">
        <v>7</v>
      </c>
      <c r="J1" s="16" t="s">
        <v>17</v>
      </c>
      <c r="K1" s="16" t="s">
        <v>18</v>
      </c>
    </row>
    <row r="2" spans="1:17" x14ac:dyDescent="0.35">
      <c r="A2" t="str">
        <f>dashboard2!O4</f>
        <v>زمستان</v>
      </c>
      <c r="B2" s="12">
        <f>SUMIFS(Database!$G:$G,Database!$F:$F,calcu!B1,Database!$E:$E,dashboard2!$O$4)</f>
        <v>0.6</v>
      </c>
      <c r="C2" s="12">
        <f>SUMIFS(Database!$G:$G,Database!$F:$F,calcu!C1,Database!$E:$E,dashboard2!$O$4)</f>
        <v>0.3</v>
      </c>
      <c r="D2" s="12">
        <f>SUMIFS(Database!$G:$G,Database!$F:$F,calcu!D1,Database!$E:$E,dashboard2!$O$4)</f>
        <v>0.5</v>
      </c>
      <c r="E2" s="12">
        <f>SUMIFS(Database!$G:$G,Database!$F:$F,calcu!E1,Database!$E:$E,dashboard2!$O$4)</f>
        <v>0.6</v>
      </c>
      <c r="F2" s="12">
        <f>SUMIFS(Database!$G:$G,Database!$F:$F,calcu!F1,Database!$E:$E,dashboard2!$O$4)</f>
        <v>0.3</v>
      </c>
      <c r="G2" s="12">
        <f>SUMIFS(Database!$G:$G,Database!$F:$F,calcu!G1,Database!$E:$E,dashboard2!$O$4)</f>
        <v>0.4</v>
      </c>
      <c r="H2" s="12">
        <f>SUMIFS(Database!$G:$G,Database!$F:$F,calcu!H1,Database!$E:$E,dashboard2!$O$4)</f>
        <v>0.36</v>
      </c>
      <c r="I2" s="12">
        <f>SUMIFS(Database!$G:$G,Database!$F:$F,calcu!I1,Database!$E:$E,dashboard2!$O$4)</f>
        <v>0.28000000000000003</v>
      </c>
      <c r="J2" s="13">
        <f>AVERAGE(B2:I2)</f>
        <v>0.41749999999999998</v>
      </c>
      <c r="K2" s="12">
        <f>IF(dashboard2!N4=1,0,IF((calcu!J2-calcu!J3)/calcu!J3&gt;100%,100%,(J2-J3)/J3))</f>
        <v>-0.40989399293286216</v>
      </c>
    </row>
    <row r="3" spans="1:17" x14ac:dyDescent="0.35">
      <c r="A3" t="str">
        <f>INDEX(list2!A2:A5,dashboard2!N4-1)</f>
        <v>پاییز</v>
      </c>
      <c r="B3" s="12">
        <f>SUMIFS(Database!$G:$G,Database!$F:$F,calcu!B1,Database!$E:$E,calcu!$A$3)</f>
        <v>0.9</v>
      </c>
      <c r="C3" s="12">
        <f>SUMIFS(Database!$G:$G,Database!$F:$F,calcu!C1,Database!$E:$E,calcu!$A$3)</f>
        <v>0.76</v>
      </c>
      <c r="D3" s="12">
        <f>SUMIFS(Database!$G:$G,Database!$F:$F,calcu!D1,Database!$E:$E,calcu!$A$3)</f>
        <v>0.6</v>
      </c>
      <c r="E3" s="12">
        <f>SUMIFS(Database!$G:$G,Database!$F:$F,calcu!E1,Database!$E:$E,calcu!$A$3)</f>
        <v>0.5</v>
      </c>
      <c r="F3" s="12">
        <f>SUMIFS(Database!$G:$G,Database!$F:$F,calcu!F1,Database!$E:$E,calcu!$A$3)</f>
        <v>0.7</v>
      </c>
      <c r="G3" s="12">
        <f>SUMIFS(Database!$G:$G,Database!$F:$F,calcu!G1,Database!$E:$E,calcu!$A$3)</f>
        <v>0.68</v>
      </c>
      <c r="H3" s="12">
        <f>SUMIFS(Database!$G:$G,Database!$F:$F,calcu!H1,Database!$E:$E,calcu!$A$3)</f>
        <v>0.8</v>
      </c>
      <c r="I3" s="12">
        <f>SUMIFS(Database!$G:$G,Database!$F:$F,calcu!I1,Database!$E:$E,calcu!$A$3)</f>
        <v>0.72</v>
      </c>
      <c r="J3" s="13">
        <f>AVERAGE(B3:I3)</f>
        <v>0.70749999999999991</v>
      </c>
    </row>
    <row r="4" spans="1:17" x14ac:dyDescent="0.35">
      <c r="Q4">
        <v>90</v>
      </c>
    </row>
    <row r="5" spans="1:17" x14ac:dyDescent="0.35">
      <c r="Q5">
        <v>1</v>
      </c>
    </row>
    <row r="6" spans="1:17" x14ac:dyDescent="0.35">
      <c r="Q6">
        <v>26</v>
      </c>
    </row>
    <row r="7" spans="1:17" x14ac:dyDescent="0.35">
      <c r="Q7">
        <v>1</v>
      </c>
    </row>
    <row r="8" spans="1:17" x14ac:dyDescent="0.35">
      <c r="A8">
        <v>0</v>
      </c>
      <c r="B8">
        <v>-100</v>
      </c>
      <c r="C8">
        <v>90</v>
      </c>
      <c r="D8">
        <v>91</v>
      </c>
      <c r="E8">
        <v>92</v>
      </c>
      <c r="F8">
        <v>93</v>
      </c>
      <c r="G8">
        <v>94</v>
      </c>
      <c r="H8">
        <v>95</v>
      </c>
      <c r="I8">
        <v>96</v>
      </c>
      <c r="J8">
        <v>97</v>
      </c>
      <c r="K8">
        <v>98</v>
      </c>
      <c r="L8">
        <v>99</v>
      </c>
      <c r="Q8">
        <v>26</v>
      </c>
    </row>
    <row r="9" spans="1:17" x14ac:dyDescent="0.35">
      <c r="C9">
        <f>2.7*B2*100</f>
        <v>162</v>
      </c>
      <c r="D9">
        <f t="shared" ref="D9:K9" si="0">2.7*C2*100</f>
        <v>81</v>
      </c>
      <c r="E9">
        <f t="shared" si="0"/>
        <v>135</v>
      </c>
      <c r="F9">
        <f t="shared" si="0"/>
        <v>162</v>
      </c>
      <c r="G9">
        <f t="shared" si="0"/>
        <v>81</v>
      </c>
      <c r="H9">
        <f t="shared" si="0"/>
        <v>108</v>
      </c>
      <c r="I9">
        <f t="shared" si="0"/>
        <v>97.2</v>
      </c>
      <c r="J9">
        <f t="shared" si="0"/>
        <v>75.600000000000009</v>
      </c>
      <c r="K9">
        <f t="shared" si="0"/>
        <v>112.72500000000001</v>
      </c>
      <c r="L9">
        <f>1.35*K2*100+135</f>
        <v>79.664310954063609</v>
      </c>
      <c r="Q9">
        <v>1</v>
      </c>
    </row>
    <row r="10" spans="1:17" x14ac:dyDescent="0.35">
      <c r="A10">
        <v>10</v>
      </c>
      <c r="B10">
        <v>-80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Q10">
        <v>26</v>
      </c>
    </row>
    <row r="11" spans="1:17" x14ac:dyDescent="0.35">
      <c r="C11">
        <f>270-C9-C10</f>
        <v>107</v>
      </c>
      <c r="D11">
        <f t="shared" ref="D11:L11" si="1">270-D9-D10</f>
        <v>188</v>
      </c>
      <c r="E11">
        <f t="shared" si="1"/>
        <v>134</v>
      </c>
      <c r="F11">
        <f t="shared" si="1"/>
        <v>107</v>
      </c>
      <c r="G11">
        <f t="shared" si="1"/>
        <v>188</v>
      </c>
      <c r="H11">
        <f t="shared" si="1"/>
        <v>161</v>
      </c>
      <c r="I11">
        <f t="shared" si="1"/>
        <v>171.8</v>
      </c>
      <c r="J11">
        <f t="shared" si="1"/>
        <v>193.39999999999998</v>
      </c>
      <c r="K11">
        <f t="shared" si="1"/>
        <v>156.27499999999998</v>
      </c>
      <c r="L11">
        <f t="shared" si="1"/>
        <v>189.33568904593639</v>
      </c>
      <c r="Q11">
        <v>1</v>
      </c>
    </row>
    <row r="12" spans="1:17" x14ac:dyDescent="0.35">
      <c r="A12">
        <v>20</v>
      </c>
      <c r="B12">
        <v>-60</v>
      </c>
      <c r="Q12">
        <v>26</v>
      </c>
    </row>
    <row r="13" spans="1:17" x14ac:dyDescent="0.35">
      <c r="Q13">
        <v>1</v>
      </c>
    </row>
    <row r="14" spans="1:17" x14ac:dyDescent="0.35">
      <c r="A14">
        <v>30</v>
      </c>
      <c r="B14">
        <v>-40</v>
      </c>
      <c r="Q14">
        <v>26</v>
      </c>
    </row>
    <row r="15" spans="1:17" x14ac:dyDescent="0.35">
      <c r="Q15">
        <v>1</v>
      </c>
    </row>
    <row r="16" spans="1:17" x14ac:dyDescent="0.35">
      <c r="A16">
        <v>40</v>
      </c>
      <c r="B16">
        <v>-20</v>
      </c>
      <c r="Q16">
        <v>26</v>
      </c>
    </row>
    <row r="17" spans="1:17" x14ac:dyDescent="0.35">
      <c r="Q17">
        <v>1</v>
      </c>
    </row>
    <row r="18" spans="1:17" x14ac:dyDescent="0.35">
      <c r="A18">
        <v>50</v>
      </c>
      <c r="B18">
        <v>0</v>
      </c>
      <c r="Q18">
        <v>26</v>
      </c>
    </row>
    <row r="19" spans="1:17" x14ac:dyDescent="0.35">
      <c r="Q19">
        <v>1</v>
      </c>
    </row>
    <row r="20" spans="1:17" x14ac:dyDescent="0.35">
      <c r="A20">
        <v>60</v>
      </c>
      <c r="B20">
        <v>20</v>
      </c>
      <c r="Q20">
        <v>26</v>
      </c>
    </row>
    <row r="21" spans="1:17" x14ac:dyDescent="0.35">
      <c r="Q21">
        <v>1</v>
      </c>
    </row>
    <row r="22" spans="1:17" x14ac:dyDescent="0.35">
      <c r="A22">
        <v>70</v>
      </c>
      <c r="B22">
        <v>40</v>
      </c>
      <c r="Q22">
        <v>26</v>
      </c>
    </row>
    <row r="23" spans="1:17" x14ac:dyDescent="0.35">
      <c r="Q23">
        <v>1</v>
      </c>
    </row>
    <row r="24" spans="1:17" x14ac:dyDescent="0.35">
      <c r="A24">
        <v>80</v>
      </c>
      <c r="B24">
        <v>60</v>
      </c>
      <c r="Q24">
        <v>25</v>
      </c>
    </row>
    <row r="25" spans="1:17" x14ac:dyDescent="0.35">
      <c r="Q25">
        <v>1</v>
      </c>
    </row>
    <row r="26" spans="1:17" x14ac:dyDescent="0.35">
      <c r="A26">
        <v>90</v>
      </c>
      <c r="B26">
        <v>80</v>
      </c>
    </row>
    <row r="28" spans="1:17" x14ac:dyDescent="0.35">
      <c r="A28">
        <v>100</v>
      </c>
      <c r="B28">
        <v>100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rightToLeft="1" topLeftCell="B4" workbookViewId="0">
      <selection activeCell="K12" sqref="K12"/>
    </sheetView>
  </sheetViews>
  <sheetFormatPr defaultRowHeight="14.5" x14ac:dyDescent="0.35"/>
  <cols>
    <col min="9" max="13" width="8.7265625" style="12"/>
  </cols>
  <sheetData>
    <row r="1" spans="1:13" x14ac:dyDescent="0.35">
      <c r="B1" t="s">
        <v>0</v>
      </c>
      <c r="C1" t="s">
        <v>9</v>
      </c>
      <c r="D1" t="s">
        <v>10</v>
      </c>
      <c r="E1" t="s">
        <v>11</v>
      </c>
      <c r="F1" t="s">
        <v>15</v>
      </c>
      <c r="J1" s="12" t="s">
        <v>0</v>
      </c>
      <c r="K1" s="12" t="s">
        <v>9</v>
      </c>
      <c r="L1" s="12" t="s">
        <v>10</v>
      </c>
      <c r="M1" s="12" t="s">
        <v>11</v>
      </c>
    </row>
    <row r="2" spans="1:13" ht="21" x14ac:dyDescent="0.35">
      <c r="A2" s="11" t="s">
        <v>3</v>
      </c>
      <c r="B2" s="12">
        <f>SUMIFS(Database!$G:$G,Database!$F:$F,calcu2!$A2,Database!$E:$E,calcu2!B$1)</f>
        <v>0.2</v>
      </c>
      <c r="C2" s="12">
        <f>SUMIFS(Database!$G:$G,Database!$F:$F,calcu2!$A2,Database!$E:$E,calcu2!C$1)</f>
        <v>0.14000000000000001</v>
      </c>
      <c r="D2" s="12">
        <f>SUMIFS(Database!$G:$G,Database!$F:$F,calcu2!$A2,Database!$E:$E,calcu2!D$1)</f>
        <v>0.9</v>
      </c>
      <c r="E2" s="12">
        <f>SUMIFS(Database!$G:$G,Database!$F:$F,calcu2!$A2,Database!$E:$E,calcu2!E$1)</f>
        <v>0.6</v>
      </c>
      <c r="F2" s="12">
        <f>AVERAGEIF(Database!$F:$F,calcu2!A2,Database!$G:$G)</f>
        <v>0.45999999999999996</v>
      </c>
      <c r="J2" s="12" t="str">
        <f>IF(J$1=dashboard2!$O$4,calcu2!B2,"")</f>
        <v/>
      </c>
      <c r="K2" s="12" t="str">
        <f>IF(K$1=dashboard2!$O$4,calcu2!C2,"")</f>
        <v/>
      </c>
      <c r="L2" s="12" t="str">
        <f>IF(L$1=dashboard2!$O$4,calcu2!D2,"")</f>
        <v/>
      </c>
      <c r="M2" s="12">
        <f>IF(M$1=dashboard2!$O$4,calcu2!E2,"")</f>
        <v>0.6</v>
      </c>
    </row>
    <row r="3" spans="1:13" ht="31.5" x14ac:dyDescent="0.35">
      <c r="A3" s="11" t="s">
        <v>1</v>
      </c>
      <c r="B3" s="12">
        <f>SUMIFS(Database!$G:$G,Database!$F:$F,calcu2!$A3,Database!$E:$E,calcu2!B$1)</f>
        <v>0.2</v>
      </c>
      <c r="C3" s="12">
        <f>SUMIFS(Database!$G:$G,Database!$F:$F,calcu2!$A3,Database!$E:$E,calcu2!C$1)</f>
        <v>0.22</v>
      </c>
      <c r="D3" s="12">
        <f>SUMIFS(Database!$G:$G,Database!$F:$F,calcu2!$A3,Database!$E:$E,calcu2!D$1)</f>
        <v>0.76</v>
      </c>
      <c r="E3" s="12">
        <f>SUMIFS(Database!$G:$G,Database!$F:$F,calcu2!$A3,Database!$E:$E,calcu2!E$1)</f>
        <v>0.3</v>
      </c>
      <c r="F3" s="12">
        <f>AVERAGEIF(Database!$F:$F,calcu2!A3,Database!$G:$G)</f>
        <v>0.37000000000000005</v>
      </c>
      <c r="J3" s="12" t="str">
        <f>IF(J$1=dashboard2!$O$4,calcu2!B3,"")</f>
        <v/>
      </c>
      <c r="K3" s="12" t="str">
        <f>IF(K$1=dashboard2!$O$4,calcu2!C3,"")</f>
        <v/>
      </c>
      <c r="L3" s="12" t="str">
        <f>IF(L$1=dashboard2!$O$4,calcu2!D3,"")</f>
        <v/>
      </c>
      <c r="M3" s="12">
        <f>IF(M$1=dashboard2!$O$4,calcu2!E3,"")</f>
        <v>0.3</v>
      </c>
    </row>
    <row r="4" spans="1:13" ht="21" x14ac:dyDescent="0.35">
      <c r="A4" s="11" t="s">
        <v>2</v>
      </c>
      <c r="B4" s="12">
        <f>SUMIFS(Database!$G:$G,Database!$F:$F,calcu2!$A4,Database!$E:$E,calcu2!B$1)</f>
        <v>0.08</v>
      </c>
      <c r="C4" s="12">
        <f>SUMIFS(Database!$G:$G,Database!$F:$F,calcu2!$A4,Database!$E:$E,calcu2!C$1)</f>
        <v>0.5</v>
      </c>
      <c r="D4" s="12">
        <f>SUMIFS(Database!$G:$G,Database!$F:$F,calcu2!$A4,Database!$E:$E,calcu2!D$1)</f>
        <v>0.6</v>
      </c>
      <c r="E4" s="12">
        <f>SUMIFS(Database!$G:$G,Database!$F:$F,calcu2!$A4,Database!$E:$E,calcu2!E$1)</f>
        <v>0.5</v>
      </c>
      <c r="F4" s="12">
        <f>AVERAGEIF(Database!$F:$F,calcu2!A4,Database!$G:$G)</f>
        <v>0.42</v>
      </c>
      <c r="J4" s="12" t="str">
        <f>IF(J$1=dashboard2!$O$4,calcu2!B4,"")</f>
        <v/>
      </c>
      <c r="K4" s="12" t="str">
        <f>IF(K$1=dashboard2!$O$4,calcu2!C4,"")</f>
        <v/>
      </c>
      <c r="L4" s="12" t="str">
        <f>IF(L$1=dashboard2!$O$4,calcu2!D4,"")</f>
        <v/>
      </c>
      <c r="M4" s="12">
        <f>IF(M$1=dashboard2!$O$4,calcu2!E4,"")</f>
        <v>0.5</v>
      </c>
    </row>
    <row r="5" spans="1:13" ht="31.5" x14ac:dyDescent="0.35">
      <c r="A5" s="11" t="s">
        <v>12</v>
      </c>
      <c r="B5" s="12">
        <f>SUMIFS(Database!$G:$G,Database!$F:$F,calcu2!$A5,Database!$E:$E,calcu2!B$1)</f>
        <v>0.2</v>
      </c>
      <c r="C5" s="12">
        <f>SUMIFS(Database!$G:$G,Database!$F:$F,calcu2!$A5,Database!$E:$E,calcu2!C$1)</f>
        <v>0.06</v>
      </c>
      <c r="D5" s="12">
        <f>SUMIFS(Database!$G:$G,Database!$F:$F,calcu2!$A5,Database!$E:$E,calcu2!D$1)</f>
        <v>0.5</v>
      </c>
      <c r="E5" s="12">
        <f>SUMIFS(Database!$G:$G,Database!$F:$F,calcu2!$A5,Database!$E:$E,calcu2!E$1)</f>
        <v>0.6</v>
      </c>
      <c r="F5" s="12">
        <f>AVERAGEIF(Database!$F:$F,calcu2!A5,Database!$G:$G)</f>
        <v>0.33999999999999997</v>
      </c>
      <c r="J5" s="12" t="str">
        <f>IF(J$1=dashboard2!$O$4,calcu2!B5,"")</f>
        <v/>
      </c>
      <c r="K5" s="12" t="str">
        <f>IF(K$1=dashboard2!$O$4,calcu2!C5,"")</f>
        <v/>
      </c>
      <c r="L5" s="12" t="str">
        <f>IF(L$1=dashboard2!$O$4,calcu2!D5,"")</f>
        <v/>
      </c>
      <c r="M5" s="12">
        <f>IF(M$1=dashboard2!$O$4,calcu2!E5,"")</f>
        <v>0.6</v>
      </c>
    </row>
    <row r="6" spans="1:13" ht="31.5" x14ac:dyDescent="0.35">
      <c r="A6" s="11" t="s">
        <v>4</v>
      </c>
      <c r="B6" s="12">
        <f>SUMIFS(Database!$G:$G,Database!$F:$F,calcu2!$A6,Database!$E:$E,calcu2!B$1)</f>
        <v>0.15</v>
      </c>
      <c r="C6" s="12">
        <f>SUMIFS(Database!$G:$G,Database!$F:$F,calcu2!$A6,Database!$E:$E,calcu2!C$1)</f>
        <v>0.08</v>
      </c>
      <c r="D6" s="12">
        <f>SUMIFS(Database!$G:$G,Database!$F:$F,calcu2!$A6,Database!$E:$E,calcu2!D$1)</f>
        <v>0.7</v>
      </c>
      <c r="E6" s="12">
        <f>SUMIFS(Database!$G:$G,Database!$F:$F,calcu2!$A6,Database!$E:$E,calcu2!E$1)</f>
        <v>0.3</v>
      </c>
      <c r="F6" s="12">
        <f>AVERAGEIF(Database!$F:$F,calcu2!A6,Database!$G:$G)</f>
        <v>0.3075</v>
      </c>
      <c r="J6" s="12" t="str">
        <f>IF(J$1=dashboard2!$O$4,calcu2!B6,"")</f>
        <v/>
      </c>
      <c r="K6" s="12" t="str">
        <f>IF(K$1=dashboard2!$O$4,calcu2!C6,"")</f>
        <v/>
      </c>
      <c r="L6" s="12" t="str">
        <f>IF(L$1=dashboard2!$O$4,calcu2!D6,"")</f>
        <v/>
      </c>
      <c r="M6" s="12">
        <f>IF(M$1=dashboard2!$O$4,calcu2!E6,"")</f>
        <v>0.3</v>
      </c>
    </row>
    <row r="7" spans="1:13" ht="21" x14ac:dyDescent="0.35">
      <c r="A7" s="11" t="s">
        <v>5</v>
      </c>
      <c r="B7" s="12">
        <f>SUMIFS(Database!$G:$G,Database!$F:$F,calcu2!$A7,Database!$E:$E,calcu2!B$1)</f>
        <v>0.14000000000000001</v>
      </c>
      <c r="C7" s="12">
        <f>SUMIFS(Database!$G:$G,Database!$F:$F,calcu2!$A7,Database!$E:$E,calcu2!C$1)</f>
        <v>0.16</v>
      </c>
      <c r="D7" s="12">
        <f>SUMIFS(Database!$G:$G,Database!$F:$F,calcu2!$A7,Database!$E:$E,calcu2!D$1)</f>
        <v>0.68</v>
      </c>
      <c r="E7" s="12">
        <f>SUMIFS(Database!$G:$G,Database!$F:$F,calcu2!$A7,Database!$E:$E,calcu2!E$1)</f>
        <v>0.4</v>
      </c>
      <c r="F7" s="12">
        <f>AVERAGEIF(Database!$F:$F,calcu2!A7,Database!$G:$G)</f>
        <v>0.34500000000000003</v>
      </c>
      <c r="J7" s="12" t="str">
        <f>IF(J$1=dashboard2!$O$4,calcu2!B7,"")</f>
        <v/>
      </c>
      <c r="K7" s="12" t="str">
        <f>IF(K$1=dashboard2!$O$4,calcu2!C7,"")</f>
        <v/>
      </c>
      <c r="L7" s="12" t="str">
        <f>IF(L$1=dashboard2!$O$4,calcu2!D7,"")</f>
        <v/>
      </c>
      <c r="M7" s="12">
        <f>IF(M$1=dashboard2!$O$4,calcu2!E7,"")</f>
        <v>0.4</v>
      </c>
    </row>
    <row r="8" spans="1:13" ht="21" x14ac:dyDescent="0.35">
      <c r="A8" s="11" t="s">
        <v>6</v>
      </c>
      <c r="B8" s="12">
        <f>SUMIFS(Database!$G:$G,Database!$F:$F,calcu2!$A8,Database!$E:$E,calcu2!B$1)</f>
        <v>0.05</v>
      </c>
      <c r="C8" s="12">
        <f>SUMIFS(Database!$G:$G,Database!$F:$F,calcu2!$A8,Database!$E:$E,calcu2!C$1)</f>
        <v>0.05</v>
      </c>
      <c r="D8" s="12">
        <f>SUMIFS(Database!$G:$G,Database!$F:$F,calcu2!$A8,Database!$E:$E,calcu2!D$1)</f>
        <v>0.8</v>
      </c>
      <c r="E8" s="12">
        <f>SUMIFS(Database!$G:$G,Database!$F:$F,calcu2!$A8,Database!$E:$E,calcu2!E$1)</f>
        <v>0.36</v>
      </c>
      <c r="F8" s="12">
        <f>AVERAGEIF(Database!$F:$F,calcu2!A8,Database!$G:$G)</f>
        <v>0.315</v>
      </c>
      <c r="J8" s="12" t="str">
        <f>IF(J$1=dashboard2!$O$4,calcu2!B8,"")</f>
        <v/>
      </c>
      <c r="K8" s="12" t="str">
        <f>IF(K$1=dashboard2!$O$4,calcu2!C8,"")</f>
        <v/>
      </c>
      <c r="L8" s="12" t="str">
        <f>IF(L$1=dashboard2!$O$4,calcu2!D8,"")</f>
        <v/>
      </c>
      <c r="M8" s="12">
        <f>IF(M$1=dashboard2!$O$4,calcu2!E8,"")</f>
        <v>0.36</v>
      </c>
    </row>
    <row r="9" spans="1:13" ht="21" x14ac:dyDescent="0.35">
      <c r="A9" s="11" t="s">
        <v>7</v>
      </c>
      <c r="B9" s="12">
        <f>SUMIFS(Database!$G:$G,Database!$F:$F,calcu2!$A9,Database!$E:$E,calcu2!B$1)</f>
        <v>0.1</v>
      </c>
      <c r="C9" s="12">
        <f>SUMIFS(Database!$G:$G,Database!$F:$F,calcu2!$A9,Database!$E:$E,calcu2!C$1)</f>
        <v>0.4</v>
      </c>
      <c r="D9" s="12">
        <f>SUMIFS(Database!$G:$G,Database!$F:$F,calcu2!$A9,Database!$E:$E,calcu2!D$1)</f>
        <v>0.72</v>
      </c>
      <c r="E9" s="12">
        <f>SUMIFS(Database!$G:$G,Database!$F:$F,calcu2!$A9,Database!$E:$E,calcu2!E$1)</f>
        <v>0.28000000000000003</v>
      </c>
      <c r="F9" s="12">
        <f>AVERAGEIF(Database!$F:$F,calcu2!A9,Database!$G:$G)</f>
        <v>0.375</v>
      </c>
      <c r="J9" s="12" t="str">
        <f>IF(J$1=dashboard2!$O$4,calcu2!B9,"")</f>
        <v/>
      </c>
      <c r="K9" s="12" t="str">
        <f>IF(K$1=dashboard2!$O$4,calcu2!C9,"")</f>
        <v/>
      </c>
      <c r="L9" s="12" t="str">
        <f>IF(L$1=dashboard2!$O$4,calcu2!D9,"")</f>
        <v/>
      </c>
      <c r="M9" s="12">
        <f>IF(M$1=dashboard2!$O$4,calcu2!E9,"")</f>
        <v>0.28000000000000003</v>
      </c>
    </row>
    <row r="11" spans="1:13" x14ac:dyDescent="0.35">
      <c r="I11" s="12" t="s">
        <v>20</v>
      </c>
      <c r="J11" s="12" t="s">
        <v>19</v>
      </c>
      <c r="K11" s="12" t="s">
        <v>16</v>
      </c>
    </row>
    <row r="12" spans="1:13" x14ac:dyDescent="0.35">
      <c r="I12" s="12" cm="1">
        <f t="array" ref="I12">IF(dashboard2!$N$4=1,0,INDEX(B2:E2,dashboard2!$N$4-1))</f>
        <v>0.9</v>
      </c>
      <c r="J12" s="12">
        <f>SUM(J2:M2)</f>
        <v>0.6</v>
      </c>
      <c r="K12" s="12">
        <f>IF(dashboard2!$N$4=1,0,(calcu2!J12-calcu2!I12)/calcu2!I12)</f>
        <v>-0.33333333333333337</v>
      </c>
    </row>
    <row r="13" spans="1:13" x14ac:dyDescent="0.35">
      <c r="I13" s="12" cm="1">
        <f t="array" ref="I13">IF(dashboard2!$N$4=1,0,INDEX(B3:E3,dashboard2!$N$4-1))</f>
        <v>0.76</v>
      </c>
      <c r="J13" s="12">
        <f t="shared" ref="J13:J19" si="0">SUM(J3:M3)</f>
        <v>0.3</v>
      </c>
      <c r="K13" s="12">
        <f>IF(dashboard2!$N$4=1,0,(calcu2!J13-calcu2!I13)/calcu2!I13)</f>
        <v>-0.60526315789473684</v>
      </c>
    </row>
    <row r="14" spans="1:13" x14ac:dyDescent="0.35">
      <c r="I14" s="12" cm="1">
        <f t="array" ref="I14">IF(dashboard2!$N$4=1,0,INDEX(B4:E4,dashboard2!$N$4-1))</f>
        <v>0.6</v>
      </c>
      <c r="J14" s="12">
        <f t="shared" si="0"/>
        <v>0.5</v>
      </c>
      <c r="K14" s="12">
        <f>IF(dashboard2!$N$4=1,0,(calcu2!J14-calcu2!I14)/calcu2!I14)</f>
        <v>-0.16666666666666663</v>
      </c>
    </row>
    <row r="15" spans="1:13" x14ac:dyDescent="0.35">
      <c r="I15" s="12" cm="1">
        <f t="array" ref="I15">IF(dashboard2!$N$4=1,0,INDEX(B5:E5,dashboard2!$N$4-1))</f>
        <v>0.5</v>
      </c>
      <c r="J15" s="12">
        <f t="shared" si="0"/>
        <v>0.6</v>
      </c>
      <c r="K15" s="12">
        <f>IF(dashboard2!$N$4=1,0,(calcu2!J15-calcu2!I15)/calcu2!I15)</f>
        <v>0.19999999999999996</v>
      </c>
    </row>
    <row r="16" spans="1:13" x14ac:dyDescent="0.35">
      <c r="I16" s="12" cm="1">
        <f t="array" ref="I16">IF(dashboard2!$N$4=1,0,INDEX(B6:E6,dashboard2!$N$4-1))</f>
        <v>0.7</v>
      </c>
      <c r="J16" s="12">
        <f t="shared" si="0"/>
        <v>0.3</v>
      </c>
      <c r="K16" s="12">
        <f>IF(dashboard2!$N$4=1,0,(calcu2!J16-calcu2!I16)/calcu2!I16)</f>
        <v>-0.5714285714285714</v>
      </c>
    </row>
    <row r="17" spans="9:11" x14ac:dyDescent="0.35">
      <c r="I17" s="12" cm="1">
        <f t="array" ref="I17">IF(dashboard2!$N$4=1,0,INDEX(B7:E7,dashboard2!$N$4-1))</f>
        <v>0.68</v>
      </c>
      <c r="J17" s="12">
        <f t="shared" si="0"/>
        <v>0.4</v>
      </c>
      <c r="K17" s="12">
        <f>IF(dashboard2!$N$4=1,0,(calcu2!J17-calcu2!I17)/calcu2!I17)</f>
        <v>-0.41176470588235298</v>
      </c>
    </row>
    <row r="18" spans="9:11" x14ac:dyDescent="0.35">
      <c r="I18" s="12" cm="1">
        <f t="array" ref="I18">IF(dashboard2!$N$4=1,0,INDEX(B8:E8,dashboard2!$N$4-1))</f>
        <v>0.8</v>
      </c>
      <c r="J18" s="12">
        <f t="shared" si="0"/>
        <v>0.36</v>
      </c>
      <c r="K18" s="12">
        <f>IF(dashboard2!$N$4=1,0,(calcu2!J18-calcu2!I18)/calcu2!I18)</f>
        <v>-0.55000000000000004</v>
      </c>
    </row>
    <row r="19" spans="9:11" x14ac:dyDescent="0.35">
      <c r="I19" s="12" cm="1">
        <f t="array" ref="I19">IF(dashboard2!$N$4=1,0,INDEX(B9:E9,dashboard2!$N$4-1))</f>
        <v>0.72</v>
      </c>
      <c r="J19" s="12">
        <f t="shared" si="0"/>
        <v>0.28000000000000003</v>
      </c>
      <c r="K19" s="12">
        <f>IF(dashboard2!$N$4=1,0,(calcu2!J19-calcu2!I19)/calcu2!I19)</f>
        <v>-0.61111111111111105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rightToLeft="1" workbookViewId="0">
      <selection activeCell="A2" sqref="A2:A5"/>
    </sheetView>
  </sheetViews>
  <sheetFormatPr defaultRowHeight="14.5" x14ac:dyDescent="0.35"/>
  <cols>
    <col min="2" max="2" width="30.5429687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0</v>
      </c>
      <c r="B2" t="s">
        <v>3</v>
      </c>
    </row>
    <row r="3" spans="1:2" x14ac:dyDescent="0.35">
      <c r="A3" t="s">
        <v>9</v>
      </c>
      <c r="B3" t="s">
        <v>1</v>
      </c>
    </row>
    <row r="4" spans="1:2" x14ac:dyDescent="0.35">
      <c r="A4" t="s">
        <v>10</v>
      </c>
      <c r="B4" t="s">
        <v>2</v>
      </c>
    </row>
    <row r="5" spans="1:2" x14ac:dyDescent="0.35">
      <c r="A5" t="s">
        <v>11</v>
      </c>
      <c r="B5" t="s">
        <v>12</v>
      </c>
    </row>
    <row r="6" spans="1:2" x14ac:dyDescent="0.35">
      <c r="B6" t="s">
        <v>4</v>
      </c>
    </row>
    <row r="7" spans="1:2" x14ac:dyDescent="0.35">
      <c r="B7" t="s">
        <v>5</v>
      </c>
    </row>
    <row r="8" spans="1:2" x14ac:dyDescent="0.35">
      <c r="B8" t="s">
        <v>6</v>
      </c>
    </row>
    <row r="9" spans="1:2" x14ac:dyDescent="0.35"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dashboard2</vt:lpstr>
      <vt:lpstr>calcu</vt:lpstr>
      <vt:lpstr>calcu2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mehrdad mohammadian</cp:lastModifiedBy>
  <cp:lastPrinted>2026-06-01T02:18:53Z</cp:lastPrinted>
  <dcterms:created xsi:type="dcterms:W3CDTF">2013-11-28T16:50:45Z</dcterms:created>
  <dcterms:modified xsi:type="dcterms:W3CDTF">2026-06-07T19:01:52Z</dcterms:modified>
</cp:coreProperties>
</file>